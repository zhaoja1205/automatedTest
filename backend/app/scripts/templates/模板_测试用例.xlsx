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220" windowHeight="11595" tabRatio="600" firstSheet="3" activeTab="4" autoFilterDateGrouping="1"/>
  </bookViews>
  <sheets>
    <sheet xmlns:r="http://schemas.openxmlformats.org/officeDocument/2006/relationships" name="文件封面Cover" sheetId="1" state="visible" r:id="rId1"/>
    <sheet xmlns:r="http://schemas.openxmlformats.org/officeDocument/2006/relationships" name="文件修改控制Document Change Control" sheetId="2" state="visible" r:id="rId2"/>
    <sheet xmlns:r="http://schemas.openxmlformats.org/officeDocument/2006/relationships" name="参考資料References" sheetId="3" state="visible" r:id="rId3"/>
    <sheet xmlns:r="http://schemas.openxmlformats.org/officeDocument/2006/relationships" name="数据统计Data Statistics" sheetId="4" state="visible" r:id="rId4"/>
    <sheet xmlns:r="http://schemas.openxmlformats.org/officeDocument/2006/relationships" name="功能测试Functional Testing" sheetId="5" state="visible" r:id="rId5"/>
    <sheet xmlns:r="http://schemas.openxmlformats.org/officeDocument/2006/relationships" name="故障测试Fault Testing" sheetId="6" state="visible" r:id="rId6"/>
    <sheet xmlns:r="http://schemas.openxmlformats.org/officeDocument/2006/relationships" name="附录1Appendix 1" sheetId="7" state="visible" r:id="rId7"/>
    <sheet xmlns:r="http://schemas.openxmlformats.org/officeDocument/2006/relationships" name="模板修改控制" sheetId="8" state="visible" r:id="rId8"/>
  </sheets>
  <definedNames>
    <definedName name="_xlnm._FilterDatabase" localSheetId="4" hidden="1">'功能测试Functional Testing'!$A$13:$P$35</definedName>
    <definedName name="_xlnm._FilterDatabase" localSheetId="5" hidden="1">'故障测试Fault Testing'!$A$13:$P$27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11]e/"/>
    <numFmt numFmtId="165" formatCode="0_ "/>
    <numFmt numFmtId="166" formatCode="0.0%"/>
  </numFmts>
  <fonts count="52">
    <font>
      <name val="等线"/>
      <charset val="134"/>
      <color theme="1"/>
      <sz val="10"/>
      <scheme val="minor"/>
    </font>
    <font>
      <name val="宋体"/>
      <charset val="134"/>
      <sz val="10"/>
    </font>
    <font>
      <name val="宋体"/>
      <charset val="134"/>
      <color theme="1"/>
      <sz val="10"/>
    </font>
    <font>
      <name val="宋体"/>
      <charset val="134"/>
      <color rgb="FF000000"/>
      <sz val="12"/>
    </font>
    <font>
      <name val="宋体"/>
      <charset val="134"/>
      <b val="1"/>
      <color rgb="FF000000"/>
      <sz val="22"/>
    </font>
    <font>
      <name val="宋体"/>
      <charset val="134"/>
      <b val="1"/>
      <color rgb="FF000000"/>
      <sz val="12"/>
    </font>
    <font>
      <name val="Times New Roman"/>
      <charset val="134"/>
      <sz val="12"/>
    </font>
    <font>
      <name val="宋体"/>
      <charset val="134"/>
      <sz val="12"/>
    </font>
    <font>
      <name val="等线"/>
      <charset val="134"/>
      <color rgb="FFFFFFFF"/>
      <sz val="16"/>
    </font>
    <font>
      <name val="Calibri"/>
      <charset val="134"/>
      <b val="1"/>
      <color rgb="FFFFFFFF"/>
      <sz val="12"/>
    </font>
    <font>
      <name val="宋体"/>
      <charset val="134"/>
      <color rgb="FF000000"/>
      <sz val="10"/>
    </font>
    <font>
      <name val="宋体"/>
      <charset val="134"/>
      <b val="1"/>
      <color rgb="FF000000"/>
      <sz val="18"/>
    </font>
    <font>
      <name val="宋体"/>
      <charset val="134"/>
      <color rgb="FF000000"/>
      <sz val="9"/>
    </font>
    <font>
      <name val="宋体"/>
      <charset val="134"/>
      <b val="1"/>
      <color rgb="FF000000"/>
      <sz val="9"/>
    </font>
    <font>
      <name val="宋体"/>
      <charset val="134"/>
      <color rgb="FF000000"/>
      <sz val="9.800000000000001"/>
    </font>
    <font>
      <name val="宋体"/>
      <charset val="134"/>
      <color theme="1"/>
      <sz val="9"/>
    </font>
    <font>
      <name val="宋体"/>
      <charset val="134"/>
      <color rgb="FF000000"/>
      <sz val="9.75"/>
    </font>
    <font>
      <name val="宋体"/>
      <charset val="134"/>
      <b val="1"/>
      <color rgb="FF000000"/>
      <sz val="10"/>
    </font>
    <font>
      <name val="宋体"/>
      <charset val="134"/>
      <color rgb="FF0000FF"/>
      <sz val="10"/>
      <u val="single"/>
    </font>
    <font>
      <name val="Arial"/>
      <charset val="134"/>
      <sz val="10"/>
    </font>
    <font>
      <name val="Arial"/>
      <charset val="134"/>
      <b val="1"/>
      <color rgb="FF000000"/>
      <sz val="12"/>
    </font>
    <font>
      <name val="宋体"/>
      <charset val="1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rgb="FF000000"/>
      <sz val="16"/>
    </font>
    <font>
      <name val="宋体"/>
      <charset val="134"/>
      <b val="1"/>
      <color rgb="FF000000"/>
      <sz val="10.5"/>
    </font>
    <font>
      <name val="宋体"/>
      <charset val="134"/>
      <color rgb="FF000000"/>
      <sz val="13.5"/>
    </font>
    <font>
      <name val="宋体"/>
      <charset val="134"/>
      <color rgb="FF000000"/>
      <sz val="42"/>
    </font>
    <font>
      <name val="宋体"/>
      <charset val="134"/>
      <b val="1"/>
      <color rgb="FF000000"/>
      <sz val="36"/>
    </font>
    <font>
      <name val="宋体"/>
      <charset val="134"/>
      <b val="1"/>
      <color rgb="FF000000"/>
      <sz val="13.5"/>
    </font>
    <font>
      <name val="宋体"/>
      <charset val="134"/>
      <color rgb="FF000000"/>
      <sz val="15"/>
    </font>
    <font>
      <name val="宋体"/>
      <charset val="134"/>
      <color rgb="FF000000"/>
      <sz val="16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0">
    <xf numFmtId="0" fontId="0" fillId="0" borderId="0"/>
    <xf numFmtId="43" fontId="32" fillId="0" borderId="0" applyAlignment="1">
      <alignment vertical="center"/>
    </xf>
    <xf numFmtId="44" fontId="32" fillId="0" borderId="0" applyAlignment="1">
      <alignment vertical="center"/>
    </xf>
    <xf numFmtId="9" fontId="32" fillId="0" borderId="0" applyAlignment="1">
      <alignment vertical="center"/>
    </xf>
    <xf numFmtId="41" fontId="32" fillId="0" borderId="0" applyAlignment="1">
      <alignment vertical="center"/>
    </xf>
    <xf numFmtId="42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2" fillId="13" borderId="5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51" applyAlignment="1">
      <alignment vertical="center"/>
    </xf>
    <xf numFmtId="0" fontId="39" fillId="0" borderId="51" applyAlignment="1">
      <alignment vertical="center"/>
    </xf>
    <xf numFmtId="0" fontId="40" fillId="0" borderId="52" applyAlignment="1">
      <alignment vertical="center"/>
    </xf>
    <xf numFmtId="0" fontId="40" fillId="0" borderId="0" applyAlignment="1">
      <alignment vertical="center"/>
    </xf>
    <xf numFmtId="0" fontId="41" fillId="14" borderId="53" applyAlignment="1">
      <alignment vertical="center"/>
    </xf>
    <xf numFmtId="0" fontId="42" fillId="15" borderId="54" applyAlignment="1">
      <alignment vertical="center"/>
    </xf>
    <xf numFmtId="0" fontId="43" fillId="15" borderId="53" applyAlignment="1">
      <alignment vertical="center"/>
    </xf>
    <xf numFmtId="0" fontId="44" fillId="16" borderId="55" applyAlignment="1">
      <alignment vertical="center"/>
    </xf>
    <xf numFmtId="0" fontId="45" fillId="0" borderId="56" applyAlignment="1">
      <alignment vertical="center"/>
    </xf>
    <xf numFmtId="0" fontId="46" fillId="0" borderId="57" applyAlignment="1">
      <alignment vertical="center"/>
    </xf>
    <xf numFmtId="0" fontId="47" fillId="17" borderId="0" applyAlignment="1">
      <alignment vertical="center"/>
    </xf>
    <xf numFmtId="0" fontId="48" fillId="18" borderId="0" applyAlignment="1">
      <alignment vertical="center"/>
    </xf>
    <xf numFmtId="0" fontId="49" fillId="19" borderId="0" applyAlignment="1">
      <alignment vertical="center"/>
    </xf>
    <xf numFmtId="0" fontId="50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0" fillId="23" borderId="0" applyAlignment="1">
      <alignment vertical="center"/>
    </xf>
    <xf numFmtId="0" fontId="50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0" fillId="27" borderId="0" applyAlignment="1">
      <alignment vertical="center"/>
    </xf>
    <xf numFmtId="0" fontId="50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0" fillId="31" borderId="0" applyAlignment="1">
      <alignment vertical="center"/>
    </xf>
    <xf numFmtId="0" fontId="50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0" fillId="35" borderId="0" applyAlignment="1">
      <alignment vertical="center"/>
    </xf>
    <xf numFmtId="0" fontId="50" fillId="36" borderId="0" applyAlignment="1">
      <alignment vertical="center"/>
    </xf>
    <xf numFmtId="0" fontId="51" fillId="37" borderId="0" applyAlignment="1">
      <alignment vertical="center"/>
    </xf>
    <xf numFmtId="0" fontId="51" fillId="38" borderId="0" applyAlignment="1">
      <alignment vertical="center"/>
    </xf>
    <xf numFmtId="0" fontId="50" fillId="39" borderId="0" applyAlignment="1">
      <alignment vertical="center"/>
    </xf>
    <xf numFmtId="0" fontId="50" fillId="40" borderId="0" applyAlignment="1">
      <alignment vertical="center"/>
    </xf>
    <xf numFmtId="0" fontId="51" fillId="41" borderId="0" applyAlignment="1">
      <alignment vertical="center"/>
    </xf>
    <xf numFmtId="0" fontId="51" fillId="42" borderId="0" applyAlignment="1">
      <alignment vertical="center"/>
    </xf>
    <xf numFmtId="0" fontId="50" fillId="43" borderId="0" applyAlignment="1">
      <alignment vertical="center"/>
    </xf>
    <xf numFmtId="0" fontId="7" fillId="0" borderId="0"/>
  </cellStyleXfs>
  <cellXfs count="217">
    <xf numFmtId="0" fontId="0" fillId="0" borderId="0" applyAlignment="1" pivotButton="0" quotePrefix="0" xfId="0">
      <alignment vertical="center"/>
    </xf>
    <xf numFmtId="164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4" fontId="6" fillId="0" borderId="7" applyAlignment="1" pivotButton="0" quotePrefix="0" xfId="0">
      <alignment horizontal="center" vertical="top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9" fillId="3" borderId="1" applyAlignment="1" pivotButton="0" quotePrefix="0" xfId="11">
      <alignment horizontal="center" vertical="center" wrapText="1"/>
    </xf>
    <xf numFmtId="0" fontId="9" fillId="3" borderId="20" applyAlignment="1" pivotButton="0" quotePrefix="0" xfId="11">
      <alignment horizontal="center" vertical="center" wrapText="1"/>
    </xf>
    <xf numFmtId="0" fontId="9" fillId="3" borderId="21" applyAlignment="1" pivotButton="0" quotePrefix="0" xfId="11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11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14" fontId="10" fillId="0" borderId="5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11">
      <alignment horizontal="center" vertical="center" wrapText="1"/>
    </xf>
    <xf numFmtId="14" fontId="10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 wrapText="1"/>
    </xf>
    <xf numFmtId="0" fontId="0" fillId="0" borderId="22" pivotButton="0" quotePrefix="0" xfId="0"/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164" fontId="13" fillId="5" borderId="4" applyAlignment="1" pivotButton="0" quotePrefix="0" xfId="0">
      <alignment horizontal="center" vertical="center"/>
    </xf>
    <xf numFmtId="165" fontId="13" fillId="5" borderId="6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6" fontId="13" fillId="5" borderId="6" applyAlignment="1" pivotButton="0" quotePrefix="0" xfId="0">
      <alignment horizontal="center" vertical="center"/>
    </xf>
    <xf numFmtId="164" fontId="13" fillId="5" borderId="10" applyAlignment="1" pivotButton="0" quotePrefix="0" xfId="0">
      <alignment horizontal="center" vertical="center"/>
    </xf>
    <xf numFmtId="166" fontId="13" fillId="5" borderId="1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4" fontId="13" fillId="6" borderId="25" applyAlignment="1" pivotButton="0" quotePrefix="0" xfId="0">
      <alignment horizontal="center" vertical="center" wrapText="1"/>
    </xf>
    <xf numFmtId="164" fontId="13" fillId="6" borderId="26" applyAlignment="1" pivotButton="0" quotePrefix="0" xfId="0">
      <alignment horizontal="center" vertical="center" wrapText="1"/>
    </xf>
    <xf numFmtId="164" fontId="13" fillId="7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164" fontId="13" fillId="7" borderId="7" applyAlignment="1" pivotButton="0" quotePrefix="0" xfId="0">
      <alignment horizontal="center" vertical="center" wrapText="1"/>
    </xf>
    <xf numFmtId="164" fontId="13" fillId="7" borderId="31" applyAlignment="1" pivotButton="0" quotePrefix="0" xfId="0">
      <alignment horizontal="center" vertical="center" wrapText="1"/>
    </xf>
    <xf numFmtId="49" fontId="12" fillId="0" borderId="32" applyAlignment="1" pivotButton="0" quotePrefix="0" xfId="0">
      <alignment horizontal="center" vertical="center" wrapText="1"/>
    </xf>
    <xf numFmtId="14" fontId="12" fillId="0" borderId="7" applyAlignment="1" pivotButton="0" quotePrefix="0" xfId="0">
      <alignment horizontal="center" vertical="center" wrapText="1"/>
    </xf>
    <xf numFmtId="14" fontId="12" fillId="0" borderId="7" applyAlignment="1" pivotButton="0" quotePrefix="0" xfId="0">
      <alignment horizontal="left" vertical="center" wrapText="1"/>
    </xf>
    <xf numFmtId="0" fontId="12" fillId="0" borderId="33" applyAlignment="1" pivotButton="0" quotePrefix="0" xfId="0">
      <alignment vertical="center" wrapText="1"/>
    </xf>
    <xf numFmtId="14" fontId="12" fillId="0" borderId="7" applyAlignment="1" applyProtection="1" pivotButton="0" quotePrefix="0" xfId="0">
      <alignment horizontal="left" vertical="center" wrapText="1"/>
      <protection locked="0" hidden="0"/>
    </xf>
    <xf numFmtId="164" fontId="12" fillId="0" borderId="7" applyAlignment="1" pivotButton="0" quotePrefix="0" xfId="0">
      <alignment horizontal="center" vertical="center" wrapText="1"/>
    </xf>
    <xf numFmtId="164" fontId="12" fillId="8" borderId="7" applyAlignment="1" pivotButton="0" quotePrefix="0" xfId="0">
      <alignment horizontal="center" vertical="center" wrapText="1"/>
    </xf>
    <xf numFmtId="164" fontId="12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4" fontId="12" fillId="0" borderId="34" applyAlignment="1" pivotButton="0" quotePrefix="0" xfId="0">
      <alignment horizontal="center" vertical="center" wrapText="1"/>
    </xf>
    <xf numFmtId="14" fontId="12" fillId="0" borderId="31" applyAlignment="1" pivotButton="0" quotePrefix="0" xfId="0">
      <alignment horizontal="center" vertical="center" wrapText="1"/>
    </xf>
    <xf numFmtId="0" fontId="10" fillId="4" borderId="0" applyAlignment="1" pivotButton="0" quotePrefix="0" xfId="0">
      <alignment vertical="center"/>
    </xf>
    <xf numFmtId="49" fontId="12" fillId="4" borderId="32" applyAlignment="1" pivotButton="0" quotePrefix="0" xfId="0">
      <alignment horizontal="center" vertical="center" wrapText="1"/>
    </xf>
    <xf numFmtId="14" fontId="12" fillId="4" borderId="7" applyAlignment="1" pivotButton="0" quotePrefix="0" xfId="0">
      <alignment horizontal="center" vertical="center" wrapText="1"/>
    </xf>
    <xf numFmtId="14" fontId="12" fillId="4" borderId="7" applyAlignment="1" pivotButton="0" quotePrefix="0" xfId="0">
      <alignment horizontal="left" vertical="center" wrapText="1"/>
    </xf>
    <xf numFmtId="14" fontId="12" fillId="4" borderId="7" applyAlignment="1" applyProtection="1" pivotButton="0" quotePrefix="0" xfId="0">
      <alignment horizontal="left" vertical="center" wrapText="1"/>
      <protection locked="0" hidden="0"/>
    </xf>
    <xf numFmtId="164" fontId="12" fillId="4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/>
    </xf>
    <xf numFmtId="0" fontId="10" fillId="4" borderId="7" applyAlignment="1" pivotButton="0" quotePrefix="0" xfId="0">
      <alignment vertical="center"/>
    </xf>
    <xf numFmtId="164" fontId="12" fillId="4" borderId="5" applyAlignment="1" pivotButton="0" quotePrefix="0" xfId="0">
      <alignment horizontal="center" vertical="center" wrapText="1"/>
    </xf>
    <xf numFmtId="164" fontId="12" fillId="4" borderId="34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2" fillId="0" borderId="7" applyAlignment="1" pivotButton="0" quotePrefix="0" xfId="0">
      <alignment vertical="center" wrapText="1"/>
    </xf>
    <xf numFmtId="0" fontId="10" fillId="0" borderId="7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/>
    </xf>
    <xf numFmtId="0" fontId="15" fillId="0" borderId="35" applyAlignment="1" pivotButton="0" quotePrefix="0" xfId="0">
      <alignment vertical="center" wrapText="1"/>
    </xf>
    <xf numFmtId="0" fontId="15" fillId="0" borderId="35" applyAlignment="1" pivotButton="0" quotePrefix="0" xfId="0">
      <alignment vertical="center"/>
    </xf>
    <xf numFmtId="164" fontId="12" fillId="0" borderId="35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/>
    </xf>
    <xf numFmtId="14" fontId="15" fillId="0" borderId="36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 wrapText="1"/>
    </xf>
    <xf numFmtId="164" fontId="12" fillId="0" borderId="7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top" wrapText="1"/>
    </xf>
    <xf numFmtId="164" fontId="12" fillId="4" borderId="7" applyAlignment="1" pivotButton="0" quotePrefix="0" xfId="0">
      <alignment horizontal="left" vertical="top" wrapText="1"/>
    </xf>
    <xf numFmtId="0" fontId="12" fillId="4" borderId="7" applyAlignment="1" pivotButton="0" quotePrefix="0" xfId="0">
      <alignment horizontal="left" vertical="top" wrapText="1"/>
    </xf>
    <xf numFmtId="14" fontId="12" fillId="0" borderId="5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 wrapText="1"/>
    </xf>
    <xf numFmtId="49" fontId="12" fillId="0" borderId="37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vertical="center" wrapText="1"/>
    </xf>
    <xf numFmtId="0" fontId="15" fillId="0" borderId="38" applyAlignment="1" pivotButton="0" quotePrefix="0" xfId="0">
      <alignment vertical="center" wrapText="1"/>
    </xf>
    <xf numFmtId="0" fontId="15" fillId="0" borderId="33" applyAlignment="1" pivotButton="0" quotePrefix="0" xfId="0">
      <alignment vertical="center" wrapText="1"/>
    </xf>
    <xf numFmtId="0" fontId="15" fillId="0" borderId="33" applyAlignment="1" pivotButton="0" quotePrefix="0" xfId="0">
      <alignment vertical="center"/>
    </xf>
    <xf numFmtId="164" fontId="12" fillId="0" borderId="33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/>
    </xf>
    <xf numFmtId="0" fontId="15" fillId="0" borderId="39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14" fontId="15" fillId="0" borderId="5" applyAlignment="1" pivotButton="0" quotePrefix="0" xfId="0">
      <alignment horizontal="center" vertical="center"/>
    </xf>
    <xf numFmtId="0" fontId="15" fillId="0" borderId="40" applyAlignment="1" pivotButton="0" quotePrefix="0" xfId="0">
      <alignment horizontal="center" vertical="center"/>
    </xf>
    <xf numFmtId="0" fontId="15" fillId="0" borderId="40" applyAlignment="1" pivotButton="0" quotePrefix="0" xfId="0">
      <alignment vertical="center" wrapText="1"/>
    </xf>
    <xf numFmtId="0" fontId="15" fillId="0" borderId="41" applyAlignment="1" pivotButton="0" quotePrefix="0" xfId="0">
      <alignment vertical="center"/>
    </xf>
    <xf numFmtId="164" fontId="16" fillId="0" borderId="0" pivotButton="0" quotePrefix="0" xfId="0"/>
    <xf numFmtId="164" fontId="5" fillId="9" borderId="25" applyAlignment="1" pivotButton="0" quotePrefix="0" xfId="0">
      <alignment horizontal="center" vertical="center"/>
    </xf>
    <xf numFmtId="164" fontId="17" fillId="10" borderId="32" applyAlignment="1" pivotButton="0" quotePrefix="0" xfId="0">
      <alignment horizontal="center" vertical="center" wrapText="1"/>
    </xf>
    <xf numFmtId="164" fontId="17" fillId="10" borderId="7" applyAlignment="1" pivotButton="0" quotePrefix="0" xfId="0">
      <alignment horizontal="center" vertical="center" wrapText="1"/>
    </xf>
    <xf numFmtId="164" fontId="17" fillId="10" borderId="31" applyAlignment="1" pivotButton="0" quotePrefix="0" xfId="0">
      <alignment horizontal="center" vertical="center" wrapText="1"/>
    </xf>
    <xf numFmtId="164" fontId="18" fillId="9" borderId="32" applyAlignment="1" pivotButton="0" quotePrefix="0" xfId="6">
      <alignment horizontal="center" vertical="center"/>
    </xf>
    <xf numFmtId="165" fontId="10" fillId="0" borderId="7" applyAlignment="1" pivotButton="0" quotePrefix="0" xfId="0">
      <alignment horizontal="center" vertical="center"/>
    </xf>
    <xf numFmtId="166" fontId="10" fillId="0" borderId="7" applyAlignment="1" pivotButton="0" quotePrefix="0" xfId="0">
      <alignment horizontal="center" vertical="center"/>
    </xf>
    <xf numFmtId="166" fontId="10" fillId="0" borderId="31" applyAlignment="1" pivotButton="0" quotePrefix="0" xfId="0">
      <alignment horizontal="center" vertical="center"/>
    </xf>
    <xf numFmtId="164" fontId="17" fillId="11" borderId="42" applyAlignment="1" pivotButton="0" quotePrefix="0" xfId="0">
      <alignment horizontal="center" vertical="center"/>
    </xf>
    <xf numFmtId="165" fontId="17" fillId="10" borderId="35" applyAlignment="1" pivotButton="0" quotePrefix="0" xfId="0">
      <alignment horizontal="center" vertical="center"/>
    </xf>
    <xf numFmtId="166" fontId="17" fillId="11" borderId="35" applyAlignment="1" pivotButton="0" quotePrefix="0" xfId="0">
      <alignment horizontal="center" vertical="center"/>
    </xf>
    <xf numFmtId="166" fontId="17" fillId="11" borderId="36" applyAlignment="1" pivotButton="0" quotePrefix="0" xfId="0">
      <alignment horizontal="center" vertical="center"/>
    </xf>
    <xf numFmtId="164" fontId="19" fillId="12" borderId="1" pivotButton="0" quotePrefix="0" xfId="0"/>
    <xf numFmtId="164" fontId="20" fillId="12" borderId="20" applyAlignment="1" pivotButton="0" quotePrefix="0" xfId="0">
      <alignment horizontal="center"/>
    </xf>
    <xf numFmtId="0" fontId="21" fillId="12" borderId="4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44" pivotButton="0" quotePrefix="0" xfId="0"/>
    <xf numFmtId="0" fontId="23" fillId="12" borderId="4" applyAlignment="1" pivotButton="0" quotePrefix="0" xfId="0">
      <alignment horizontal="center" vertical="center" wrapText="1"/>
    </xf>
    <xf numFmtId="0" fontId="21" fillId="12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left" vertical="center" wrapText="1"/>
    </xf>
    <xf numFmtId="0" fontId="0" fillId="0" borderId="45" pivotButton="0" quotePrefix="0" xfId="0"/>
    <xf numFmtId="0" fontId="0" fillId="0" borderId="46" pivotButton="0" quotePrefix="0" xfId="0"/>
    <xf numFmtId="164" fontId="24" fillId="7" borderId="25" applyAlignment="1" pivotButton="0" quotePrefix="0" xfId="0">
      <alignment horizontal="center" vertical="center" wrapText="1"/>
    </xf>
    <xf numFmtId="164" fontId="25" fillId="7" borderId="32" applyAlignment="1" pivotButton="0" quotePrefix="0" xfId="0">
      <alignment horizontal="center" vertical="center"/>
    </xf>
    <xf numFmtId="164" fontId="25" fillId="7" borderId="7" applyAlignment="1" pivotButton="0" quotePrefix="0" xfId="0">
      <alignment horizontal="center" vertical="center" wrapText="1"/>
    </xf>
    <xf numFmtId="164" fontId="25" fillId="7" borderId="31" applyAlignment="1" pivotButton="0" quotePrefix="0" xfId="0">
      <alignment horizontal="center" vertical="center" wrapText="1"/>
    </xf>
    <xf numFmtId="0" fontId="16" fillId="0" borderId="32" applyAlignment="1" pivotButton="0" quotePrefix="0" xfId="0">
      <alignment horizontal="center" vertical="center" wrapText="1"/>
    </xf>
    <xf numFmtId="164" fontId="10" fillId="0" borderId="7" applyAlignment="1" pivotButton="0" quotePrefix="0" xfId="0">
      <alignment horizontal="center" vertical="center" wrapText="1"/>
    </xf>
    <xf numFmtId="164" fontId="10" fillId="0" borderId="31" applyAlignment="1" pivotButton="0" quotePrefix="0" xfId="0">
      <alignment horizontal="center" vertical="center" wrapText="1"/>
    </xf>
    <xf numFmtId="0" fontId="16" fillId="0" borderId="47" applyAlignment="1" pivotButton="0" quotePrefix="0" xfId="0">
      <alignment horizontal="center" vertical="center" wrapText="1"/>
    </xf>
    <xf numFmtId="164" fontId="10" fillId="0" borderId="33" applyAlignment="1" pivotButton="0" quotePrefix="0" xfId="0">
      <alignment horizontal="center" vertical="center" wrapText="1"/>
    </xf>
    <xf numFmtId="164" fontId="10" fillId="0" borderId="48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164" fontId="10" fillId="0" borderId="35" applyAlignment="1" pivotButton="0" quotePrefix="0" xfId="0">
      <alignment horizontal="center" vertical="center" wrapText="1"/>
    </xf>
    <xf numFmtId="164" fontId="10" fillId="0" borderId="36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14" fontId="3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164" fontId="24" fillId="7" borderId="25" applyAlignment="1" pivotButton="0" quotePrefix="0" xfId="0">
      <alignment horizontal="center" vertical="center" wrapText="1"/>
    </xf>
    <xf numFmtId="164" fontId="25" fillId="7" borderId="32" applyAlignment="1" pivotButton="0" quotePrefix="0" xfId="0">
      <alignment horizontal="center" vertical="center"/>
    </xf>
    <xf numFmtId="164" fontId="25" fillId="7" borderId="7" applyAlignment="1" pivotButton="0" quotePrefix="0" xfId="0">
      <alignment horizontal="center" vertical="center" wrapText="1"/>
    </xf>
    <xf numFmtId="164" fontId="25" fillId="7" borderId="31" applyAlignment="1" pivotButton="0" quotePrefix="0" xfId="0">
      <alignment horizontal="center" vertical="center" wrapText="1"/>
    </xf>
    <xf numFmtId="164" fontId="10" fillId="0" borderId="7" applyAlignment="1" pivotButton="0" quotePrefix="0" xfId="0">
      <alignment horizontal="center" vertical="center" wrapText="1"/>
    </xf>
    <xf numFmtId="164" fontId="10" fillId="0" borderId="31" applyAlignment="1" pivotButton="0" quotePrefix="0" xfId="0">
      <alignment horizontal="center" vertical="center" wrapText="1"/>
    </xf>
    <xf numFmtId="164" fontId="10" fillId="0" borderId="33" applyAlignment="1" pivotButton="0" quotePrefix="0" xfId="0">
      <alignment horizontal="center" vertical="center" wrapText="1"/>
    </xf>
    <xf numFmtId="164" fontId="10" fillId="0" borderId="48" applyAlignment="1" pivotButton="0" quotePrefix="0" xfId="0">
      <alignment horizontal="center" vertical="center" wrapText="1"/>
    </xf>
    <xf numFmtId="164" fontId="10" fillId="0" borderId="35" applyAlignment="1" pivotButton="0" quotePrefix="0" xfId="0">
      <alignment horizontal="center" vertical="center" wrapText="1"/>
    </xf>
    <xf numFmtId="164" fontId="10" fillId="0" borderId="36" applyAlignment="1" pivotButton="0" quotePrefix="0" xfId="0">
      <alignment horizontal="center" vertical="center" wrapText="1"/>
    </xf>
    <xf numFmtId="164" fontId="16" fillId="0" borderId="0" pivotButton="0" quotePrefix="0" xfId="0"/>
    <xf numFmtId="164" fontId="5" fillId="9" borderId="25" applyAlignment="1" pivotButton="0" quotePrefix="0" xfId="0">
      <alignment horizontal="center" vertical="center"/>
    </xf>
    <xf numFmtId="164" fontId="17" fillId="10" borderId="32" applyAlignment="1" pivotButton="0" quotePrefix="0" xfId="0">
      <alignment horizontal="center" vertical="center" wrapText="1"/>
    </xf>
    <xf numFmtId="164" fontId="17" fillId="10" borderId="7" applyAlignment="1" pivotButton="0" quotePrefix="0" xfId="0">
      <alignment horizontal="center" vertical="center" wrapText="1"/>
    </xf>
    <xf numFmtId="164" fontId="17" fillId="10" borderId="31" applyAlignment="1" pivotButton="0" quotePrefix="0" xfId="0">
      <alignment horizontal="center" vertical="center" wrapText="1"/>
    </xf>
    <xf numFmtId="164" fontId="18" fillId="9" borderId="32" applyAlignment="1" pivotButton="0" quotePrefix="0" xfId="6">
      <alignment horizontal="center" vertical="center"/>
    </xf>
    <xf numFmtId="165" fontId="10" fillId="0" borderId="7" applyAlignment="1" pivotButton="0" quotePrefix="0" xfId="0">
      <alignment horizontal="center" vertical="center"/>
    </xf>
    <xf numFmtId="166" fontId="10" fillId="0" borderId="7" applyAlignment="1" pivotButton="0" quotePrefix="0" xfId="0">
      <alignment horizontal="center" vertical="center"/>
    </xf>
    <xf numFmtId="166" fontId="10" fillId="0" borderId="31" applyAlignment="1" pivotButton="0" quotePrefix="0" xfId="0">
      <alignment horizontal="center" vertical="center"/>
    </xf>
    <xf numFmtId="164" fontId="17" fillId="11" borderId="42" applyAlignment="1" pivotButton="0" quotePrefix="0" xfId="0">
      <alignment horizontal="center" vertical="center"/>
    </xf>
    <xf numFmtId="165" fontId="17" fillId="10" borderId="35" applyAlignment="1" pivotButton="0" quotePrefix="0" xfId="0">
      <alignment horizontal="center" vertical="center"/>
    </xf>
    <xf numFmtId="166" fontId="17" fillId="11" borderId="35" applyAlignment="1" pivotButton="0" quotePrefix="0" xfId="0">
      <alignment horizontal="center" vertical="center"/>
    </xf>
    <xf numFmtId="166" fontId="17" fillId="11" borderId="36" applyAlignment="1" pivotButton="0" quotePrefix="0" xfId="0">
      <alignment horizontal="center" vertical="center"/>
    </xf>
    <xf numFmtId="164" fontId="19" fillId="12" borderId="1" pivotButton="0" quotePrefix="0" xfId="0"/>
    <xf numFmtId="164" fontId="20" fillId="12" borderId="20" applyAlignment="1" pivotButton="0" quotePrefix="0" xfId="0">
      <alignment horizontal="center"/>
    </xf>
    <xf numFmtId="164" fontId="11" fillId="5" borderId="1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164" fontId="13" fillId="5" borderId="4" applyAlignment="1" pivotButton="0" quotePrefix="0" xfId="0">
      <alignment horizontal="center" vertical="center"/>
    </xf>
    <xf numFmtId="165" fontId="13" fillId="5" borderId="6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6" fontId="13" fillId="5" borderId="6" applyAlignment="1" pivotButton="0" quotePrefix="0" xfId="0">
      <alignment horizontal="center" vertical="center"/>
    </xf>
    <xf numFmtId="164" fontId="13" fillId="5" borderId="10" applyAlignment="1" pivotButton="0" quotePrefix="0" xfId="0">
      <alignment horizontal="center" vertical="center"/>
    </xf>
    <xf numFmtId="166" fontId="13" fillId="5" borderId="12" applyAlignment="1" pivotButton="0" quotePrefix="0" xfId="0">
      <alignment horizontal="center" vertical="center"/>
    </xf>
    <xf numFmtId="164" fontId="13" fillId="6" borderId="25" applyAlignment="1" pivotButton="0" quotePrefix="0" xfId="0">
      <alignment horizontal="center" vertical="center" wrapText="1"/>
    </xf>
    <xf numFmtId="164" fontId="13" fillId="6" borderId="26" applyAlignment="1" pivotButton="0" quotePrefix="0" xfId="0">
      <alignment horizontal="center" vertical="center" wrapText="1"/>
    </xf>
    <xf numFmtId="164" fontId="13" fillId="7" borderId="26" applyAlignment="1" pivotButton="0" quotePrefix="0" xfId="0">
      <alignment horizontal="center" vertical="center" wrapText="1"/>
    </xf>
    <xf numFmtId="164" fontId="13" fillId="7" borderId="7" applyAlignment="1" pivotButton="0" quotePrefix="0" xfId="0">
      <alignment horizontal="center" vertical="center" wrapText="1"/>
    </xf>
    <xf numFmtId="164" fontId="13" fillId="7" borderId="31" applyAlignment="1" pivotButton="0" quotePrefix="0" xfId="0">
      <alignment horizontal="center" vertical="center" wrapText="1"/>
    </xf>
    <xf numFmtId="164" fontId="1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</cellStyles>
  <dxfs count="6">
    <dxf>
      <fill>
        <patternFill patternType="solid">
          <bgColor rgb="FFFFCC00"/>
        </patternFill>
      </fill>
    </dxf>
    <dxf>
      <font>
        <name val="Calibri"/>
        <family val="2"/>
        <strike val="1"/>
        <color rgb="FF000000"/>
        <sz val="11"/>
      </font>
      <fill>
        <patternFill patternType="solid">
          <bgColor rgb="FF96969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>
    <from>
      <col>4</col>
      <colOff>224155</colOff>
      <row>0</row>
      <rowOff>184785</rowOff>
    </from>
    <to>
      <col>4</col>
      <colOff>2557145</colOff>
      <row>2</row>
      <rowOff>26035</rowOff>
    </to>
    <pic>
      <nvPicPr>
        <cNvPr id="3" name="Picture 2" descr="zonOLR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91255" y="184785"/>
          <a:ext cx="2332990" cy="565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drawings/drawing2.xml><?xml version="1.0" encoding="utf-8"?>
<wsDr xmlns="http://schemas.openxmlformats.org/drawingml/2006/spreadsheetDrawing">
  <twoCellAnchor editAs="oneCell">
    <from>
      <col>0</col>
      <colOff>9525</colOff>
      <row>3</row>
      <rowOff>0</rowOff>
    </from>
    <to>
      <col>10</col>
      <colOff>530860</colOff>
      <row>35</row>
      <rowOff>87630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457200"/>
          <a:ext cx="6960235" cy="55251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7"/>
  <sheetViews>
    <sheetView showGridLines="0" zoomScale="85" zoomScaleNormal="85" workbookViewId="0">
      <selection activeCell="E27" sqref="E27"/>
    </sheetView>
  </sheetViews>
  <sheetFormatPr baseColWidth="8" defaultColWidth="14" defaultRowHeight="12"/>
  <cols>
    <col width="14" customWidth="1" style="2" min="1" max="1"/>
    <col width="16" customWidth="1" style="2" min="2" max="2"/>
    <col width="11" customWidth="1" style="2" min="3" max="4"/>
    <col width="44.5714285714286" customWidth="1" style="2" min="5" max="5"/>
    <col width="12.1428571428571" customWidth="1" style="2" min="6" max="6"/>
    <col width="16.7142857142857" customWidth="1" style="2" min="7" max="7"/>
    <col width="14.5714285714286" customWidth="1" style="2" min="8" max="8"/>
    <col width="33" customWidth="1" style="2" min="9" max="9"/>
    <col width="11" customWidth="1" style="2" min="10" max="21"/>
    <col width="14" customWidth="1" style="2" min="22" max="16384"/>
  </cols>
  <sheetData>
    <row r="1" ht="24" customHeight="1" s="23">
      <c r="B1" s="166" t="n"/>
      <c r="C1" s="3" t="n"/>
      <c r="D1" s="3" t="n"/>
      <c r="E1" s="3" t="n"/>
      <c r="F1" s="3" t="n"/>
      <c r="G1" s="3" t="n"/>
      <c r="H1" s="3" t="n"/>
      <c r="I1" s="3" t="n"/>
    </row>
    <row r="2" ht="33" customHeight="1" s="23">
      <c r="B2" s="166" t="n"/>
      <c r="C2" s="3" t="n"/>
      <c r="D2" s="3" t="n"/>
      <c r="E2" s="3" t="n"/>
      <c r="F2" s="3" t="n"/>
      <c r="G2" s="3" t="n"/>
      <c r="H2" s="3" t="n"/>
      <c r="I2" s="3" t="n"/>
    </row>
    <row r="3" ht="18.95" customHeight="1" s="23">
      <c r="C3" s="3" t="n"/>
      <c r="D3" s="3" t="n"/>
      <c r="E3" s="3" t="n"/>
      <c r="F3" s="3" t="n"/>
      <c r="G3" s="3" t="n"/>
      <c r="H3" s="3" t="n"/>
      <c r="I3" s="3" t="n"/>
    </row>
    <row r="4" ht="18.95" customHeight="1" s="23">
      <c r="B4" s="167" t="n"/>
      <c r="C4" s="3" t="n"/>
      <c r="E4" s="168" t="inlineStr">
        <is>
          <t>文件编号/File Number：ThunderSoft-SVB-11-ZY07</t>
        </is>
      </c>
      <c r="F4" s="3" t="n"/>
      <c r="G4" s="3" t="n"/>
      <c r="H4" s="3" t="n"/>
      <c r="I4" s="3" t="n"/>
    </row>
    <row r="5" ht="18.95" customHeight="1" s="23">
      <c r="B5" s="167" t="n"/>
      <c r="C5" s="3" t="n"/>
      <c r="D5" s="3" t="n"/>
      <c r="E5" s="3" t="n"/>
      <c r="F5" s="3" t="n"/>
      <c r="G5" s="3" t="n"/>
      <c r="H5" s="3" t="n"/>
      <c r="I5" s="3" t="n"/>
    </row>
    <row r="6" ht="18.95" customHeight="1" s="23">
      <c r="B6" s="167" t="n"/>
      <c r="C6" s="3" t="n"/>
      <c r="D6" s="3" t="n"/>
      <c r="E6" s="3" t="n"/>
      <c r="F6" s="3" t="n"/>
      <c r="G6" s="3" t="n"/>
      <c r="H6" s="3" t="n"/>
      <c r="I6" s="3" t="n"/>
    </row>
    <row r="7" ht="18.95" customHeight="1" s="23">
      <c r="B7" s="167" t="n"/>
      <c r="C7" s="3" t="n"/>
      <c r="D7" s="3" t="n"/>
      <c r="E7" s="3" t="n"/>
      <c r="F7" s="3" t="n"/>
      <c r="G7" s="3" t="n"/>
      <c r="H7" s="3" t="n"/>
      <c r="I7" s="3" t="n"/>
    </row>
    <row r="8" ht="18.95" customHeight="1" s="23">
      <c r="B8" s="167" t="n"/>
      <c r="C8" s="3" t="n"/>
      <c r="D8" s="3" t="n"/>
      <c r="E8" s="3" t="n"/>
      <c r="F8" s="3" t="n"/>
      <c r="G8" s="3" t="n"/>
      <c r="H8" s="3" t="n"/>
      <c r="I8" s="3" t="n"/>
    </row>
    <row r="9" ht="18.95" customHeight="1" s="23">
      <c r="B9" s="167" t="n"/>
      <c r="C9" s="3" t="n"/>
      <c r="D9" s="3" t="n"/>
      <c r="E9" s="3" t="n"/>
      <c r="F9" s="3" t="n"/>
      <c r="G9" s="3" t="n"/>
      <c r="H9" s="3" t="n"/>
      <c r="I9" s="3" t="n"/>
    </row>
    <row r="10" ht="18.95" customHeight="1" s="23">
      <c r="B10" s="167" t="n"/>
      <c r="C10" s="3" t="n"/>
      <c r="D10" s="3" t="n"/>
      <c r="E10" s="3" t="n"/>
      <c r="G10" s="3" t="n"/>
      <c r="H10" s="3" t="n"/>
      <c r="I10" s="3" t="n"/>
    </row>
    <row r="11" ht="58.5" customHeight="1" s="23">
      <c r="B11" s="169" t="n"/>
      <c r="C11" s="169" t="n"/>
      <c r="D11" s="169" t="n"/>
      <c r="E11" s="170" t="inlineStr">
        <is>
          <t>Zhiji_Software Test Report软件测试报告</t>
        </is>
      </c>
      <c r="F11" s="169" t="n"/>
      <c r="G11" s="169" t="n"/>
      <c r="H11" s="169" t="n"/>
      <c r="I11" s="3" t="n"/>
    </row>
    <row r="12" ht="18.95" customHeight="1" s="23">
      <c r="B12" s="167" t="n"/>
      <c r="C12" s="3" t="n"/>
      <c r="D12" s="3" t="n"/>
      <c r="E12" s="3" t="n"/>
      <c r="F12" s="3" t="n"/>
      <c r="G12" s="3" t="n"/>
      <c r="H12" s="3" t="n"/>
      <c r="I12" s="3" t="n"/>
    </row>
    <row r="13" ht="21" customHeight="1" s="23">
      <c r="B13" s="171" t="n"/>
      <c r="C13" s="3" t="n"/>
      <c r="D13" s="3" t="n"/>
      <c r="E13" s="3" t="n"/>
      <c r="F13" s="3" t="n"/>
      <c r="I13" s="3" t="n"/>
    </row>
    <row r="14" ht="21" customHeight="1" s="23">
      <c r="C14" s="3" t="n"/>
      <c r="D14" s="3" t="n"/>
      <c r="E14" s="172" t="inlineStr">
        <is>
          <t>版本/Version: V1.0</t>
        </is>
      </c>
      <c r="F14" s="3" t="n"/>
      <c r="I14" s="3" t="n"/>
    </row>
    <row r="15" ht="21" customHeight="1" s="23">
      <c r="C15" s="3" t="n"/>
      <c r="D15" s="3" t="n"/>
      <c r="E15" s="3" t="n"/>
      <c r="F15" s="3" t="n"/>
      <c r="H15" s="3" t="n"/>
      <c r="I15" s="3" t="n"/>
    </row>
    <row r="16" ht="21" customHeight="1" s="23">
      <c r="B16" s="167" t="n"/>
      <c r="C16" s="3" t="n"/>
      <c r="D16" s="3" t="n"/>
      <c r="E16" s="3" t="n"/>
      <c r="F16" s="173" t="n"/>
      <c r="H16" s="3" t="n"/>
      <c r="I16" s="3" t="n"/>
    </row>
    <row r="17" ht="21" customHeight="1" s="23">
      <c r="B17" s="167" t="n"/>
      <c r="C17" s="3" t="n"/>
      <c r="D17" s="3" t="n"/>
      <c r="E17" s="3" t="n"/>
      <c r="H17" s="3" t="n"/>
      <c r="I17" s="3" t="n"/>
    </row>
    <row r="18" ht="23.25" customHeight="1" s="23">
      <c r="C18" s="3" t="n"/>
      <c r="D18" s="3" t="n"/>
      <c r="E18" s="3" t="n"/>
      <c r="H18" s="3" t="n"/>
      <c r="I18" s="3" t="n"/>
    </row>
    <row r="19" ht="23.25" customHeight="1" s="23">
      <c r="C19" s="3" t="n"/>
      <c r="D19" s="3" t="n"/>
      <c r="E19" s="3" t="n"/>
      <c r="G19" s="168" t="n"/>
      <c r="H19" s="3" t="n"/>
      <c r="I19" s="3" t="n"/>
    </row>
    <row r="20" ht="23.25" customHeight="1" s="23">
      <c r="B20" s="167" t="n"/>
      <c r="C20" s="3" t="n"/>
      <c r="D20" s="3" t="n"/>
      <c r="E20" s="3" t="n"/>
      <c r="F20" s="168" t="n"/>
      <c r="G20" s="172" t="n"/>
      <c r="H20" s="3" t="n"/>
      <c r="I20" s="3" t="n"/>
    </row>
    <row r="21" ht="23.25" customHeight="1" s="23">
      <c r="C21" s="3" t="n"/>
      <c r="D21" s="3" t="n"/>
      <c r="E21" s="168" t="n"/>
      <c r="F21" s="168" t="n"/>
      <c r="G21" s="168" t="n"/>
      <c r="H21" s="3" t="n"/>
      <c r="I21" s="3" t="n"/>
    </row>
    <row r="22" ht="23.25" customHeight="1" s="23">
      <c r="C22" s="3" t="n"/>
      <c r="D22" s="3" t="n"/>
      <c r="E22" s="3" t="n"/>
      <c r="F22" s="168" t="n"/>
      <c r="G22" s="168" t="n"/>
      <c r="H22" s="3" t="n"/>
      <c r="I22" s="3" t="n"/>
    </row>
    <row r="23" ht="23.25" customHeight="1" s="23">
      <c r="B23" s="167" t="n"/>
      <c r="C23" s="3" t="n"/>
      <c r="D23" s="3" t="n"/>
      <c r="E23" s="3" t="n"/>
      <c r="F23" s="168" t="n"/>
      <c r="G23" s="168" t="n"/>
      <c r="H23" s="3" t="n"/>
      <c r="I23" s="3" t="n"/>
    </row>
    <row r="24" ht="18.95" customHeight="1" s="23">
      <c r="B24" s="167" t="n"/>
      <c r="C24" s="3" t="n"/>
      <c r="D24" s="3" t="n"/>
      <c r="E24" s="3" t="n"/>
      <c r="F24" s="3" t="n"/>
      <c r="G24" s="3" t="n"/>
      <c r="H24" s="3" t="n"/>
      <c r="I24" s="3" t="n"/>
    </row>
    <row r="25" ht="18.95" customHeight="1" s="23">
      <c r="B25" s="167" t="n"/>
      <c r="C25" s="3" t="n"/>
      <c r="D25" s="3" t="n"/>
      <c r="E25" s="3" t="n"/>
      <c r="F25" s="3" t="n"/>
      <c r="G25" s="3" t="n"/>
      <c r="H25" s="3" t="n"/>
      <c r="I25" s="3" t="n"/>
    </row>
    <row r="26" ht="21" customHeight="1" s="23">
      <c r="B26" s="167" t="n"/>
      <c r="C26" s="3" t="n"/>
      <c r="D26" s="3" t="n"/>
      <c r="E26" s="3" t="n"/>
      <c r="F26" s="3" t="n"/>
      <c r="G26" s="3" t="n"/>
      <c r="H26" s="3" t="n"/>
      <c r="I26" s="3" t="n"/>
    </row>
    <row r="27" ht="21" customHeight="1" s="23">
      <c r="C27" s="174" t="n"/>
      <c r="E27" s="175" t="inlineStr">
        <is>
          <t>中科创达软件股份有限公司/Thundersoft Co., Ltd.</t>
        </is>
      </c>
      <c r="F27" s="3" t="n"/>
      <c r="G27" s="3" t="n"/>
      <c r="H27" s="3" t="n"/>
      <c r="I27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20"/>
  <sheetViews>
    <sheetView showGridLines="0" workbookViewId="0">
      <selection activeCell="E5" sqref="E5"/>
    </sheetView>
  </sheetViews>
  <sheetFormatPr baseColWidth="8" defaultColWidth="14" defaultRowHeight="12"/>
  <cols>
    <col width="3" customWidth="1" style="2" min="1" max="1"/>
    <col width="13" customWidth="1" style="2" min="2" max="2"/>
    <col width="54.7809523809524" customWidth="1" style="2" min="3" max="3"/>
    <col width="13" customWidth="1" style="2" min="4" max="5"/>
    <col width="37.8571428571429" customWidth="1" style="2" min="6" max="6"/>
    <col width="20.7142857142857" customWidth="1" style="2" min="7" max="7"/>
    <col width="11" customWidth="1" style="2" min="8" max="20"/>
    <col width="14" customWidth="1" style="2" min="21" max="16384"/>
  </cols>
  <sheetData>
    <row r="1" ht="12.75" customHeight="1" s="23"/>
    <row r="2" ht="30.95" customHeight="1" s="23">
      <c r="A2" s="3" t="n"/>
      <c r="B2" s="4" t="inlineStr">
        <is>
          <t>文件修改控制/Document Change Control</t>
        </is>
      </c>
      <c r="C2" s="5" t="n"/>
      <c r="D2" s="5" t="n"/>
      <c r="E2" s="5" t="n"/>
      <c r="F2" s="5" t="n"/>
      <c r="G2" s="6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7.1" customHeight="1" s="23">
      <c r="B3" s="7" t="inlineStr">
        <is>
          <t>版本/Version</t>
        </is>
      </c>
      <c r="C3" s="8" t="inlineStr">
        <is>
          <t>修改条款及内容/Amend Terms and Content</t>
        </is>
      </c>
      <c r="D3" s="8" t="inlineStr">
        <is>
          <t>修改日期/Revision Date</t>
        </is>
      </c>
      <c r="E3" s="9" t="inlineStr">
        <is>
          <t>修改者/Modifier</t>
        </is>
      </c>
      <c r="F3" s="9" t="inlineStr">
        <is>
          <t>评审人/Reviewer</t>
        </is>
      </c>
      <c r="G3" s="10" t="inlineStr">
        <is>
          <t>批准人/Approver</t>
        </is>
      </c>
    </row>
    <row r="4" ht="17.1" customHeight="1" s="23">
      <c r="B4" s="11" t="inlineStr">
        <is>
          <t>V1.0</t>
        </is>
      </c>
      <c r="C4" s="12" t="inlineStr">
        <is>
          <t>针对IM_Qnx_Safety_6521_V01.001进行测试</t>
        </is>
      </c>
      <c r="D4" s="16" t="n">
        <v>46156</v>
      </c>
      <c r="E4" s="17" t="inlineStr">
        <is>
          <t>刘国龙</t>
        </is>
      </c>
      <c r="F4" s="165" t="inlineStr">
        <is>
          <t>胡玉廷、尹海亮、陈泽雨、李峥、刘潇然等</t>
        </is>
      </c>
      <c r="G4" s="18" t="inlineStr">
        <is>
          <t>胡玉廷</t>
        </is>
      </c>
    </row>
    <row r="5" ht="14.25" customHeight="1" s="23">
      <c r="B5" s="11" t="n"/>
      <c r="C5" s="12" t="n"/>
      <c r="D5" s="16" t="n"/>
      <c r="E5" s="17" t="n"/>
      <c r="F5" s="165" t="n"/>
      <c r="G5" s="18" t="n"/>
    </row>
    <row r="6" ht="14.25" customHeight="1" s="23">
      <c r="B6" s="11" t="n"/>
      <c r="C6" s="12" t="n"/>
      <c r="D6" s="16" t="n"/>
      <c r="E6" s="17" t="n"/>
      <c r="F6" s="165" t="n"/>
      <c r="G6" s="18" t="n"/>
    </row>
    <row r="7" ht="14.25" customHeight="1" s="23">
      <c r="B7" s="11" t="n"/>
      <c r="C7" s="12" t="n"/>
      <c r="D7" s="16" t="n"/>
      <c r="E7" s="17" t="n"/>
      <c r="F7" s="165" t="n"/>
      <c r="G7" s="18" t="n"/>
    </row>
    <row r="8" ht="15" customHeight="1" s="23">
      <c r="B8" s="11" t="n"/>
      <c r="C8" s="12" t="n"/>
      <c r="D8" s="16" t="n"/>
      <c r="E8" s="17" t="n"/>
      <c r="F8" s="165" t="n"/>
      <c r="G8" s="18" t="n"/>
    </row>
    <row r="9" ht="14.25" customHeight="1" s="23">
      <c r="B9" s="11" t="n"/>
      <c r="C9" s="12" t="n"/>
      <c r="D9" s="16" t="n"/>
      <c r="E9" s="17" t="n"/>
      <c r="F9" s="165" t="n"/>
      <c r="G9" s="18" t="n"/>
    </row>
    <row r="10" ht="14.25" customHeight="1" s="23">
      <c r="B10" s="11" t="n"/>
      <c r="C10" s="12" t="n"/>
      <c r="D10" s="16" t="n"/>
      <c r="E10" s="17" t="n"/>
      <c r="F10" s="165" t="n"/>
      <c r="G10" s="18" t="n"/>
    </row>
    <row r="11" ht="17.1" customHeight="1" s="23">
      <c r="B11" s="11" t="n"/>
      <c r="C11" s="12" t="n"/>
      <c r="D11" s="16" t="n"/>
      <c r="E11" s="17" t="n"/>
      <c r="F11" s="165" t="n"/>
      <c r="G11" s="18" t="n"/>
    </row>
    <row r="12" ht="17.1" customHeight="1" s="23">
      <c r="B12" s="11" t="n"/>
      <c r="C12" s="12" t="n"/>
      <c r="D12" s="12" t="n"/>
      <c r="E12" s="17" t="n"/>
      <c r="F12" s="17" t="n"/>
      <c r="G12" s="18" t="n"/>
    </row>
    <row r="13" ht="17.1" customHeight="1" s="23">
      <c r="B13" s="11" t="n"/>
      <c r="C13" s="12" t="n"/>
      <c r="D13" s="12" t="n"/>
      <c r="E13" s="17" t="n"/>
      <c r="F13" s="17" t="n"/>
      <c r="G13" s="18" t="n"/>
    </row>
    <row r="14" ht="17.1" customHeight="1" s="23">
      <c r="B14" s="11" t="n"/>
      <c r="C14" s="12" t="n"/>
      <c r="D14" s="12" t="n"/>
      <c r="E14" s="17" t="n"/>
      <c r="F14" s="17" t="n"/>
      <c r="G14" s="18" t="n"/>
    </row>
    <row r="15" ht="17.1" customHeight="1" s="23">
      <c r="B15" s="11" t="n"/>
      <c r="C15" s="12" t="n"/>
      <c r="D15" s="12" t="n"/>
      <c r="E15" s="17" t="n"/>
      <c r="F15" s="17" t="n"/>
      <c r="G15" s="18" t="n"/>
    </row>
    <row r="16" ht="17.1" customHeight="1" s="23">
      <c r="B16" s="11" t="n"/>
      <c r="C16" s="12" t="n"/>
      <c r="D16" s="12" t="n"/>
      <c r="E16" s="17" t="n"/>
      <c r="F16" s="17" t="n"/>
      <c r="G16" s="18" t="n"/>
    </row>
    <row r="17" ht="17.1" customHeight="1" s="23">
      <c r="B17" s="11" t="n"/>
      <c r="C17" s="12" t="n"/>
      <c r="D17" s="12" t="n"/>
      <c r="E17" s="17" t="n"/>
      <c r="F17" s="17" t="n"/>
      <c r="G17" s="18" t="n"/>
    </row>
    <row r="18" ht="17.1" customHeight="1" s="23">
      <c r="B18" s="11" t="n"/>
      <c r="C18" s="12" t="n"/>
      <c r="D18" s="12" t="n"/>
      <c r="E18" s="17" t="n"/>
      <c r="F18" s="17" t="n"/>
      <c r="G18" s="18" t="n"/>
    </row>
    <row r="19" ht="17.1" customHeight="1" s="23">
      <c r="B19" s="11" t="n"/>
      <c r="C19" s="12" t="n"/>
      <c r="D19" s="12" t="n"/>
      <c r="E19" s="17" t="n"/>
      <c r="F19" s="17" t="n"/>
      <c r="G19" s="18" t="n"/>
    </row>
    <row r="20" ht="17.1" customHeight="1" s="23">
      <c r="B20" s="19" t="n"/>
      <c r="C20" s="20" t="n"/>
      <c r="D20" s="20" t="n"/>
      <c r="E20" s="21" t="n"/>
      <c r="F20" s="21" t="n"/>
      <c r="G20" s="22" t="n"/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C33" sqref="C33"/>
    </sheetView>
  </sheetViews>
  <sheetFormatPr baseColWidth="8" defaultColWidth="14" defaultRowHeight="12"/>
  <cols>
    <col width="3.14285714285714" customWidth="1" style="2" min="1" max="1"/>
    <col width="6" customWidth="1" style="2" min="2" max="2"/>
    <col width="43.2857142857143" customWidth="1" style="2" min="3" max="3"/>
    <col width="14" customWidth="1" style="2" min="4" max="4"/>
    <col width="55.2857142857143" customWidth="1" style="2" min="5" max="5"/>
    <col width="8.171428571428571" customWidth="1" style="2" min="6" max="6"/>
    <col width="10" customWidth="1" style="2" min="7" max="22"/>
    <col width="14" customWidth="1" style="2" min="23" max="16384"/>
  </cols>
  <sheetData>
    <row r="1" ht="12.75" customHeight="1" s="23"/>
    <row r="2" ht="21.95" customHeight="1" s="23">
      <c r="B2" s="176" t="inlineStr">
        <is>
          <t>参考资料/References</t>
        </is>
      </c>
      <c r="C2" s="67" t="n"/>
      <c r="D2" s="67" t="n"/>
      <c r="E2" s="68" t="n"/>
    </row>
    <row r="3" ht="15" customHeight="1" s="23">
      <c r="B3" s="177" t="inlineStr">
        <is>
          <t>No</t>
        </is>
      </c>
      <c r="C3" s="178" t="inlineStr">
        <is>
          <t>参考资料/References</t>
        </is>
      </c>
      <c r="D3" s="178" t="inlineStr">
        <is>
          <t>版本/Version</t>
        </is>
      </c>
      <c r="E3" s="179" t="inlineStr">
        <is>
          <t>概要/Summary</t>
        </is>
      </c>
    </row>
    <row r="4" ht="28.5" customHeight="1" s="23">
      <c r="B4" s="156" t="n">
        <v>1</v>
      </c>
      <c r="C4" s="180" t="n"/>
      <c r="D4" s="180" t="n"/>
      <c r="E4" s="181" t="n"/>
    </row>
    <row r="5" ht="28.5" customHeight="1" s="23">
      <c r="B5" s="156" t="n"/>
      <c r="C5" s="180" t="n"/>
      <c r="D5" s="180" t="n"/>
      <c r="E5" s="181" t="n"/>
    </row>
    <row r="6" ht="28.5" customHeight="1" s="23">
      <c r="B6" s="156" t="n"/>
      <c r="C6" s="180" t="n"/>
      <c r="D6" s="180" t="n"/>
      <c r="E6" s="181" t="n"/>
    </row>
    <row r="7" ht="28.5" customHeight="1" s="23">
      <c r="B7" s="159" t="n"/>
      <c r="C7" s="182" t="n"/>
      <c r="D7" s="180" t="n"/>
      <c r="E7" s="183" t="n"/>
    </row>
    <row r="8" ht="28.5" customHeight="1" s="23">
      <c r="B8" s="159" t="n"/>
      <c r="C8" s="182" t="n"/>
      <c r="D8" s="180" t="n"/>
      <c r="E8" s="183" t="n"/>
    </row>
    <row r="9" ht="28.5" customHeight="1" s="23">
      <c r="B9" s="159" t="n"/>
      <c r="C9" s="182" t="n"/>
      <c r="D9" s="182" t="n"/>
      <c r="E9" s="183" t="n"/>
    </row>
    <row r="10" ht="28.5" customHeight="1" s="23">
      <c r="B10" s="162" t="n"/>
      <c r="C10" s="184" t="n"/>
      <c r="D10" s="184" t="n"/>
      <c r="E10" s="185" t="n"/>
    </row>
    <row r="11" ht="15" customHeight="1" s="23"/>
    <row r="12" ht="15" customHeight="1" s="23"/>
    <row r="13" ht="15" customHeight="1" s="23"/>
    <row r="14" ht="15" customHeight="1" s="23"/>
    <row r="15" ht="15" customHeight="1" s="23"/>
    <row r="16" ht="15" customHeight="1" s="23"/>
    <row r="17" ht="15" customHeight="1" s="23"/>
    <row r="18" ht="15" customHeight="1" s="23"/>
    <row r="19" ht="15" customHeight="1" s="23"/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selection activeCell="K12" sqref="K12"/>
    </sheetView>
  </sheetViews>
  <sheetFormatPr baseColWidth="8" defaultColWidth="14" defaultRowHeight="12"/>
  <cols>
    <col width="2.85714285714286" customWidth="1" style="2" min="1" max="1"/>
    <col width="21" customWidth="1" style="2" min="2" max="2"/>
    <col width="12" customWidth="1" style="2" min="3" max="3"/>
    <col width="20.7142857142857" customWidth="1" style="2" min="4" max="4"/>
    <col width="9" customWidth="1" style="2" min="5" max="12"/>
    <col width="10" customWidth="1" style="2" min="13" max="20"/>
    <col width="14" customWidth="1" style="2" min="21" max="16384"/>
  </cols>
  <sheetData>
    <row r="1" ht="15" customHeight="1" s="23">
      <c r="A1" s="186" t="n"/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</row>
    <row r="2" ht="20.25" customHeight="1" s="23">
      <c r="B2" s="187" t="inlineStr">
        <is>
          <t>测试结果汇总/Test Results Summary(Round1)</t>
        </is>
      </c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8" t="n"/>
    </row>
    <row r="3" ht="42" customHeight="1" s="23">
      <c r="B3" s="188" t="inlineStr">
        <is>
          <t>测试分类/Test Classification</t>
        </is>
      </c>
      <c r="C3" s="189" t="inlineStr">
        <is>
          <t>总数/Total</t>
        </is>
      </c>
      <c r="D3" s="189" t="inlineStr">
        <is>
          <t>执行数量/Number of procedures performed
(excluding NA/NT)</t>
        </is>
      </c>
      <c r="E3" s="189" t="inlineStr">
        <is>
          <t>Pass</t>
        </is>
      </c>
      <c r="F3" s="189" t="inlineStr">
        <is>
          <t>Fail</t>
        </is>
      </c>
      <c r="G3" s="189" t="inlineStr">
        <is>
          <t>NT</t>
        </is>
      </c>
      <c r="H3" s="189" t="inlineStr">
        <is>
          <t>Block</t>
        </is>
      </c>
      <c r="I3" s="189" t="inlineStr">
        <is>
          <t>NA</t>
        </is>
      </c>
      <c r="J3" s="189" t="inlineStr">
        <is>
          <t>Implementation rate</t>
        </is>
      </c>
      <c r="K3" s="189" t="inlineStr">
        <is>
          <t>Pass Rate</t>
        </is>
      </c>
      <c r="L3" s="189" t="inlineStr">
        <is>
          <t>Fail
Rate</t>
        </is>
      </c>
      <c r="M3" s="190" t="inlineStr">
        <is>
          <t>Block
Rate</t>
        </is>
      </c>
    </row>
    <row r="4" ht="20.25" customHeight="1" s="23">
      <c r="B4" s="191" t="inlineStr">
        <is>
          <t>功能测试</t>
        </is>
      </c>
      <c r="C4" s="192" t="inlineStr">
        <is>
          <t>0</t>
        </is>
      </c>
      <c r="D4" s="192" t="inlineStr">
        <is>
          <t>0</t>
        </is>
      </c>
      <c r="E4" s="192" t="inlineStr">
        <is>
          <t>0</t>
        </is>
      </c>
      <c r="F4" s="192" t="inlineStr">
        <is>
          <t>0</t>
        </is>
      </c>
      <c r="G4" s="192" t="inlineStr">
        <is>
          <t>0</t>
        </is>
      </c>
      <c r="H4" s="192" t="inlineStr">
        <is>
          <t>0</t>
        </is>
      </c>
      <c r="I4" s="192" t="inlineStr">
        <is>
          <t>0</t>
        </is>
      </c>
      <c r="J4" s="193">
        <f>(E4+F4+H4)/D4</f>
        <v/>
      </c>
      <c r="K4" s="193">
        <f>E4/D4</f>
        <v/>
      </c>
      <c r="L4" s="193">
        <f>F4/D4</f>
        <v/>
      </c>
      <c r="M4" s="194">
        <f>H4/D4</f>
        <v/>
      </c>
    </row>
    <row r="5" ht="20.25" customHeight="1" s="23">
      <c r="B5" s="191" t="inlineStr">
        <is>
          <t>故障测试</t>
        </is>
      </c>
      <c r="C5" s="192" t="inlineStr">
        <is>
          <t>0</t>
        </is>
      </c>
      <c r="D5" s="192" t="inlineStr">
        <is>
          <t>0</t>
        </is>
      </c>
      <c r="E5" s="192" t="inlineStr">
        <is>
          <t>0</t>
        </is>
      </c>
      <c r="F5" s="192" t="inlineStr">
        <is>
          <t>0</t>
        </is>
      </c>
      <c r="G5" s="192" t="inlineStr">
        <is>
          <t>0</t>
        </is>
      </c>
      <c r="H5" s="192" t="inlineStr">
        <is>
          <t>0</t>
        </is>
      </c>
      <c r="I5" s="192" t="inlineStr">
        <is>
          <t>0</t>
        </is>
      </c>
      <c r="J5" s="193">
        <f>(E5+F5+H5)/D5</f>
        <v/>
      </c>
      <c r="K5" s="193">
        <f>E5/D5</f>
        <v/>
      </c>
      <c r="L5" s="193">
        <f>F5/D5</f>
        <v/>
      </c>
      <c r="M5" s="194">
        <f>H5/D5</f>
        <v/>
      </c>
    </row>
    <row r="6" ht="20.25" customHeight="1" s="23">
      <c r="B6" s="195" t="inlineStr">
        <is>
          <t>合计/Total</t>
        </is>
      </c>
      <c r="C6" s="196" t="inlineStr">
        <is>
          <t>0</t>
        </is>
      </c>
      <c r="D6" s="196" t="inlineStr">
        <is>
          <t>0</t>
        </is>
      </c>
      <c r="E6" s="196" t="inlineStr">
        <is>
          <t>0</t>
        </is>
      </c>
      <c r="F6" s="196" t="inlineStr">
        <is>
          <t>0</t>
        </is>
      </c>
      <c r="G6" s="196" t="inlineStr">
        <is>
          <t>0</t>
        </is>
      </c>
      <c r="H6" s="196" t="inlineStr">
        <is>
          <t>0</t>
        </is>
      </c>
      <c r="I6" s="196" t="inlineStr">
        <is>
          <t>0</t>
        </is>
      </c>
      <c r="J6" s="197">
        <f>(E6+F6+H6)/D6</f>
        <v/>
      </c>
      <c r="K6" s="197">
        <f>E6/D6</f>
        <v/>
      </c>
      <c r="L6" s="197">
        <f>F6/D6</f>
        <v/>
      </c>
      <c r="M6" s="198">
        <f>H6/D6</f>
        <v/>
      </c>
    </row>
    <row r="7" ht="20.25" customHeight="1" s="23"/>
    <row r="8" ht="20.25" customHeight="1" s="23"/>
    <row r="9" ht="15.75" customHeight="1" s="23">
      <c r="B9" s="199" t="n"/>
      <c r="C9" s="200" t="inlineStr">
        <is>
          <t>Round1</t>
        </is>
      </c>
      <c r="D9" s="5" t="n"/>
      <c r="E9" s="5" t="n"/>
      <c r="F9" s="5" t="n"/>
      <c r="G9" s="6" t="n"/>
    </row>
    <row r="10" ht="112.7" customHeight="1" s="23">
      <c r="B10" s="143" t="inlineStr">
        <is>
          <t>测试基本信息
Test Basic Information</t>
        </is>
      </c>
      <c r="C10" s="144" t="inlineStr">
        <is>
          <t>操作系统/Operating System:Qnx 
设备型号/Equipment Model:
客户开发板/Customer Development Board
测试对象/Testing Object：Camera驱动/Camera Driver
软件版本/Software Version:Nvidia DriveOS 6.5.2.1
测试版本/Test Version:
IM_Qnx_Safety_6521_V01.001
测试周期/Testing Cycle:2026/5/14-2026/5/14</t>
        </is>
      </c>
      <c r="D10" s="145" t="n"/>
      <c r="E10" s="145" t="n"/>
      <c r="F10" s="145" t="n"/>
      <c r="G10" s="146" t="n"/>
    </row>
    <row r="11" ht="49.5" customHeight="1" s="23">
      <c r="B11" s="147" t="inlineStr">
        <is>
          <t>质量/效率目标
Quality/Efficiency Objectives</t>
        </is>
      </c>
      <c r="C11" s="144" t="inlineStr">
        <is>
          <t>Bug有效率/Bug resolution rate：95%
Case执行率/Case Execution Rate：100%</t>
        </is>
      </c>
      <c r="D11" s="145" t="n"/>
      <c r="E11" s="145" t="n"/>
      <c r="F11" s="145" t="n"/>
      <c r="G11" s="146" t="n"/>
    </row>
    <row r="12" ht="91.3" customHeight="1" s="23">
      <c r="B12" s="148" t="inlineStr">
        <is>
          <t>测试总结
Test Summary</t>
        </is>
      </c>
      <c r="C12" s="149" t="inlineStr">
        <is>
          <t>1. 致命问题/Fatal flaw：0
2. 新增问题/Newly Added Bugs：0
3. 测试通过率/Test Pass Rate: 100.0%
4. 偏差分析/Deviation Analysis：NA
综上，测试通过/In summary, the test passed.</t>
        </is>
      </c>
      <c r="D12" s="150" t="n"/>
      <c r="E12" s="150" t="n"/>
      <c r="F12" s="150" t="n"/>
      <c r="G12" s="151" t="n"/>
    </row>
  </sheetData>
  <mergeCells count="5">
    <mergeCell ref="B2:M2"/>
    <mergeCell ref="C12:G12"/>
    <mergeCell ref="C10:G10"/>
    <mergeCell ref="C11:G11"/>
    <mergeCell ref="C9:G9"/>
  </mergeCells>
  <hyperlinks>
    <hyperlink ref="B4" location="功能测试!A1" display="功能测试"/>
    <hyperlink ref="B5" location="'故障测试 '!A1" display="故障测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tabSelected="1" workbookViewId="0">
      <selection activeCell="G15" sqref="G15"/>
    </sheetView>
  </sheetViews>
  <sheetFormatPr baseColWidth="8" defaultColWidth="14" defaultRowHeight="12"/>
  <cols>
    <col width="3.42857142857143" customWidth="1" style="2" min="1" max="1"/>
    <col width="17.1428571428571" customWidth="1" style="47" min="2" max="2"/>
    <col width="14.2857142857143" customWidth="1" style="47" min="3" max="3"/>
    <col width="17.247619047619" customWidth="1" style="2" min="4" max="4"/>
    <col width="25.0285714285714" customWidth="1" style="2" min="5" max="5"/>
    <col width="36" customWidth="1" style="2" min="6" max="6"/>
    <col width="42" customWidth="1" style="2" min="7" max="7"/>
    <col width="38.447619047619" customWidth="1" style="2" min="8" max="8"/>
    <col width="14" customWidth="1" style="2" min="9" max="10"/>
    <col width="14" customWidth="1" style="47" min="11" max="11"/>
    <col width="21" customWidth="1" style="2" min="12" max="12"/>
    <col width="30.1428571428571" customWidth="1" style="2" min="13" max="13"/>
    <col width="29" customWidth="1" style="47" min="14" max="14"/>
    <col width="14" customWidth="1" style="2" min="15" max="15"/>
    <col width="29" customWidth="1" style="2" min="16" max="16"/>
    <col width="14" customWidth="1" style="2" min="17" max="14281"/>
  </cols>
  <sheetData>
    <row r="1" ht="13.5" customHeight="1" s="23">
      <c r="A1" s="48" t="n"/>
      <c r="B1" s="49" t="n"/>
      <c r="C1" s="49" t="n"/>
      <c r="D1" s="48" t="n"/>
      <c r="E1" s="48" t="n"/>
      <c r="F1" s="48" t="n"/>
      <c r="G1" s="48" t="n"/>
      <c r="H1" s="48" t="n"/>
      <c r="I1" s="48" t="n"/>
      <c r="J1" s="48" t="n"/>
      <c r="K1" s="49" t="n"/>
      <c r="L1" s="48" t="n"/>
      <c r="M1" s="48" t="n"/>
      <c r="N1" s="49" t="n"/>
      <c r="O1" s="48" t="n"/>
      <c r="P1" s="48" t="n"/>
    </row>
    <row r="2" ht="24.75" customHeight="1" s="23">
      <c r="A2" s="48" t="n"/>
      <c r="B2" s="201" t="inlineStr">
        <is>
          <t>功能测试
Functional Testing</t>
        </is>
      </c>
      <c r="C2" s="51" t="n"/>
      <c r="D2" s="202" t="n"/>
      <c r="E2" s="202" t="n"/>
      <c r="F2" s="202" t="n"/>
      <c r="G2" s="202" t="n"/>
      <c r="H2" s="202" t="n"/>
      <c r="I2" s="202" t="n"/>
      <c r="J2" s="202" t="n"/>
      <c r="K2" s="203" t="n"/>
      <c r="L2" s="202" t="n"/>
      <c r="M2" s="202" t="n"/>
      <c r="N2" s="204" t="n"/>
      <c r="O2" s="202" t="n"/>
      <c r="P2" s="202" t="n"/>
    </row>
    <row r="3" ht="25.5" customHeight="1" s="23">
      <c r="A3" s="48" t="n"/>
      <c r="B3" s="55" t="n"/>
      <c r="C3" s="56" t="n"/>
      <c r="D3" s="202" t="n"/>
      <c r="E3" s="202" t="n"/>
      <c r="F3" s="202" t="n"/>
      <c r="G3" s="202" t="n"/>
      <c r="H3" s="202" t="n"/>
      <c r="I3" s="202" t="n"/>
      <c r="J3" s="202" t="n"/>
      <c r="K3" s="203" t="n"/>
      <c r="L3" s="202" t="n"/>
      <c r="M3" s="202" t="n"/>
      <c r="N3" s="204" t="n"/>
      <c r="O3" s="202" t="n"/>
      <c r="P3" s="202" t="n"/>
    </row>
    <row r="4" s="23">
      <c r="A4" s="48" t="n"/>
      <c r="B4" s="205" t="inlineStr">
        <is>
          <t>Total</t>
        </is>
      </c>
      <c r="C4" s="206">
        <f>COUNTA(B15:B81)</f>
        <v/>
      </c>
      <c r="D4" s="202" t="n"/>
      <c r="E4" s="202" t="n"/>
      <c r="F4" s="207" t="n"/>
      <c r="G4" s="202" t="n"/>
      <c r="H4" s="202" t="n"/>
      <c r="I4" s="202" t="n"/>
      <c r="J4" s="202" t="n"/>
      <c r="K4" s="203" t="n"/>
      <c r="L4" s="202" t="n"/>
      <c r="M4" s="202" t="n"/>
      <c r="N4" s="204" t="n"/>
      <c r="O4" s="202" t="n"/>
      <c r="P4" s="202" t="n"/>
    </row>
    <row r="5" s="23">
      <c r="A5" s="48" t="n"/>
      <c r="B5" s="205" t="inlineStr">
        <is>
          <t>Pass</t>
        </is>
      </c>
      <c r="C5" s="206">
        <f>COUNTIF(K15:K83,B5)</f>
        <v/>
      </c>
      <c r="D5" s="202" t="n"/>
      <c r="E5" s="202" t="n"/>
      <c r="F5" s="207" t="n"/>
      <c r="G5" s="202" t="n"/>
      <c r="H5" s="202" t="n"/>
      <c r="I5" s="202" t="n"/>
      <c r="J5" s="202" t="n"/>
      <c r="K5" s="203" t="n"/>
      <c r="L5" s="202" t="n"/>
      <c r="M5" s="202" t="n"/>
      <c r="N5" s="204" t="n"/>
      <c r="O5" s="202" t="n"/>
      <c r="P5" s="202" t="n"/>
    </row>
    <row r="6" s="23">
      <c r="A6" s="48" t="n"/>
      <c r="B6" s="205" t="inlineStr">
        <is>
          <t>Fail</t>
        </is>
      </c>
      <c r="C6" s="206">
        <f>COUNTIF(K15:K815,B6)</f>
        <v/>
      </c>
      <c r="D6" s="202" t="n"/>
      <c r="E6" s="202" t="n"/>
      <c r="F6" s="207" t="n"/>
      <c r="G6" s="202" t="n"/>
      <c r="H6" s="202" t="n"/>
      <c r="I6" s="202" t="n"/>
      <c r="J6" s="202" t="n"/>
      <c r="K6" s="203" t="n"/>
      <c r="L6" s="202" t="n"/>
      <c r="M6" s="202" t="n"/>
      <c r="N6" s="204" t="n"/>
      <c r="O6" s="202" t="n"/>
      <c r="P6" s="202" t="n"/>
    </row>
    <row r="7" s="23">
      <c r="A7" s="48" t="n"/>
      <c r="B7" s="205" t="inlineStr">
        <is>
          <t>NT</t>
        </is>
      </c>
      <c r="C7" s="206">
        <f>COUNTIF(K15:K815,B7)</f>
        <v/>
      </c>
      <c r="D7" s="202" t="n"/>
      <c r="E7" s="202" t="n"/>
      <c r="F7" s="207" t="n"/>
      <c r="G7" s="202" t="n"/>
      <c r="H7" s="202" t="n"/>
      <c r="I7" s="202" t="n"/>
      <c r="J7" s="202" t="n"/>
      <c r="K7" s="203" t="n"/>
      <c r="L7" s="202" t="n"/>
      <c r="M7" s="202" t="n"/>
      <c r="N7" s="204" t="n"/>
      <c r="O7" s="202" t="n"/>
      <c r="P7" s="202" t="n"/>
    </row>
    <row r="8" s="23">
      <c r="A8" s="48" t="n"/>
      <c r="B8" s="205" t="inlineStr">
        <is>
          <t>BLOCK</t>
        </is>
      </c>
      <c r="C8" s="206">
        <f>COUNTIF(K15:K815,B8)</f>
        <v/>
      </c>
      <c r="D8" s="202" t="n"/>
      <c r="E8" s="202" t="n"/>
      <c r="F8" s="207" t="n"/>
      <c r="G8" s="202" t="n"/>
      <c r="H8" s="202" t="n"/>
      <c r="I8" s="202" t="n"/>
      <c r="J8" s="202" t="n"/>
      <c r="K8" s="203" t="n"/>
      <c r="L8" s="202" t="n"/>
      <c r="M8" s="202" t="n"/>
      <c r="N8" s="204" t="n"/>
      <c r="O8" s="202" t="n"/>
      <c r="P8" s="202" t="n"/>
    </row>
    <row r="9" s="23">
      <c r="A9" s="48" t="n"/>
      <c r="B9" s="205" t="inlineStr">
        <is>
          <t>NA</t>
        </is>
      </c>
      <c r="C9" s="206">
        <f>COUNTIF(K15:K815,B9)</f>
        <v/>
      </c>
      <c r="D9" s="202" t="n"/>
      <c r="E9" s="202" t="n"/>
      <c r="F9" s="207" t="n"/>
      <c r="G9" s="202" t="n"/>
      <c r="H9" s="202" t="n"/>
      <c r="I9" s="202" t="n"/>
      <c r="J9" s="202" t="n"/>
      <c r="K9" s="203" t="n"/>
      <c r="L9" s="202" t="n"/>
      <c r="M9" s="202" t="n"/>
      <c r="N9" s="204" t="n"/>
      <c r="O9" s="202" t="n"/>
      <c r="P9" s="202" t="n"/>
    </row>
    <row r="10" s="23">
      <c r="A10" s="48" t="n"/>
      <c r="B10" s="205" t="inlineStr">
        <is>
          <t>Pass Rate</t>
        </is>
      </c>
      <c r="C10" s="208">
        <f>C5/(C5+C6+C8)</f>
        <v/>
      </c>
      <c r="D10" s="202" t="n"/>
      <c r="E10" s="202" t="n"/>
      <c r="F10" s="207" t="n"/>
      <c r="G10" s="202" t="n"/>
      <c r="H10" s="202" t="n"/>
      <c r="I10" s="202" t="n"/>
      <c r="J10" s="202" t="n"/>
      <c r="K10" s="203" t="n"/>
      <c r="L10" s="202" t="n"/>
      <c r="M10" s="202" t="n"/>
      <c r="N10" s="204" t="n"/>
      <c r="O10" s="202" t="n"/>
      <c r="P10" s="202" t="n"/>
    </row>
    <row r="11" s="23">
      <c r="A11" s="48" t="n"/>
      <c r="B11" s="209" t="inlineStr">
        <is>
          <t>Fail Rate</t>
        </is>
      </c>
      <c r="C11" s="210">
        <f>C6/(C5+C6+C8)</f>
        <v/>
      </c>
      <c r="D11" s="202" t="n"/>
      <c r="E11" s="202" t="n"/>
      <c r="F11" s="207" t="n"/>
      <c r="G11" s="202" t="n"/>
      <c r="H11" s="202" t="n"/>
      <c r="I11" s="202" t="n"/>
      <c r="J11" s="202" t="n"/>
      <c r="K11" s="203" t="n"/>
      <c r="L11" s="202" t="n"/>
      <c r="M11" s="202" t="n"/>
      <c r="N11" s="204" t="n"/>
      <c r="O11" s="202" t="n"/>
      <c r="P11" s="202" t="n"/>
    </row>
    <row r="12" s="23">
      <c r="A12" s="48" t="n"/>
      <c r="B12" s="63" t="n"/>
      <c r="C12" s="63" t="n"/>
      <c r="D12" s="48" t="n"/>
      <c r="E12" s="48" t="n"/>
      <c r="F12" s="48" t="n"/>
      <c r="G12" s="48" t="n"/>
      <c r="H12" s="48" t="n"/>
      <c r="I12" s="48" t="n"/>
      <c r="J12" s="48" t="n"/>
      <c r="K12" s="49" t="n"/>
      <c r="L12" s="48" t="n"/>
      <c r="M12" s="48" t="n"/>
      <c r="N12" s="49" t="n"/>
      <c r="O12" s="48" t="n"/>
      <c r="P12" s="48" t="n"/>
    </row>
    <row r="13" ht="13.5" customHeight="1" s="23">
      <c r="A13" s="48" t="n"/>
      <c r="B13" s="211" t="inlineStr">
        <is>
          <t>测试用例ID
Test Case ID</t>
        </is>
      </c>
      <c r="C13" s="212" t="inlineStr">
        <is>
          <t>测试类型
Test Type</t>
        </is>
      </c>
      <c r="D13" s="212" t="inlineStr">
        <is>
          <t>测试用例设计方法
Test Case Design Methodology</t>
        </is>
      </c>
      <c r="E13" s="212" t="inlineStr">
        <is>
          <t>测试用例描述
Test Case Description</t>
        </is>
      </c>
      <c r="F13" s="212" t="inlineStr">
        <is>
          <t>前置条件
Prerequisites</t>
        </is>
      </c>
      <c r="G13" s="212" t="inlineStr">
        <is>
          <t>测试步骤
Testing Steps</t>
        </is>
      </c>
      <c r="H13" s="212" t="inlineStr">
        <is>
          <t>预期结果
Expected Results</t>
        </is>
      </c>
      <c r="I13" s="212" t="inlineStr">
        <is>
          <t>优先级
Priority</t>
        </is>
      </c>
      <c r="J13" s="212" t="inlineStr">
        <is>
          <t>版本变更记录
Version Change Log</t>
        </is>
      </c>
      <c r="K13" s="213" t="inlineStr">
        <is>
          <t>Round1</t>
        </is>
      </c>
      <c r="L13" s="67" t="n"/>
      <c r="M13" s="67" t="n"/>
      <c r="N13" s="67" t="n"/>
      <c r="O13" s="67" t="n"/>
      <c r="P13" s="68" t="n"/>
    </row>
    <row r="14" s="23">
      <c r="A14" s="48" t="n"/>
      <c r="B14" s="69" t="n"/>
      <c r="C14" s="70" t="n"/>
      <c r="D14" s="70" t="n"/>
      <c r="E14" s="70" t="n"/>
      <c r="F14" s="70" t="n"/>
      <c r="G14" s="70" t="n"/>
      <c r="H14" s="70" t="n"/>
      <c r="I14" s="70" t="n"/>
      <c r="J14" s="70" t="n"/>
      <c r="K14" s="214" t="inlineStr">
        <is>
          <t>实际结果/Actual results</t>
        </is>
      </c>
      <c r="L14" s="214" t="inlineStr">
        <is>
          <t>BUG</t>
        </is>
      </c>
      <c r="M14" s="214" t="inlineStr">
        <is>
          <t>备注(测试结果的log及图片等打包对应插入此列)
Notes (Test results logs, images, etc., should be packaged and inserted into this column)</t>
        </is>
      </c>
      <c r="N14" s="214" t="inlineStr">
        <is>
          <t>测试版本/Test Version</t>
        </is>
      </c>
      <c r="O14" s="214" t="inlineStr">
        <is>
          <t>实施者/Implementer</t>
        </is>
      </c>
      <c r="P14" s="215" t="inlineStr">
        <is>
          <t>测试日期/Date</t>
        </is>
      </c>
    </row>
    <row r="15" ht="180" customHeight="1" s="23"/>
    <row r="16" ht="191.25" customHeight="1" s="23"/>
    <row r="17" ht="191.25" customHeight="1" s="23"/>
    <row r="18" ht="180" customHeight="1" s="23"/>
    <row r="19" ht="180" customHeight="1" s="23"/>
    <row r="20" ht="180" customHeight="1" s="23"/>
    <row r="21" ht="180" customFormat="1" customHeight="1" s="46"/>
    <row r="22" ht="180" customFormat="1" customHeight="1" s="46"/>
    <row r="23" ht="191.25" customFormat="1" customHeight="1" s="46"/>
    <row r="24" ht="191.25" customFormat="1" customHeight="1" s="46"/>
    <row r="25" ht="180" customFormat="1" customHeight="1" s="46"/>
    <row r="26" ht="180" customFormat="1" customHeight="1" s="46"/>
    <row r="27" ht="180" customFormat="1" customHeight="1" s="46"/>
    <row r="28" ht="180" customFormat="1" customHeight="1" s="46"/>
    <row r="29" ht="180" customFormat="1" customHeight="1" s="46"/>
    <row r="30" ht="180" customFormat="1" customHeight="1" s="46"/>
    <row r="31" ht="191.25" customHeight="1" s="23"/>
    <row r="32" ht="213.75" customHeight="1" s="23"/>
    <row r="33" ht="213.75" customHeight="1" s="23"/>
    <row r="34" ht="72" customHeight="1" s="23"/>
    <row r="35" ht="72" customHeight="1" s="23"/>
  </sheetData>
  <autoFilter ref="A13:P35"/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E18">
    <cfRule type="expression" priority="286" dxfId="0" stopIfTrue="1">
      <formula>#REF!="变更删除"</formula>
    </cfRule>
    <cfRule type="expression" priority="287" dxfId="1" stopIfTrue="1">
      <formula>#REF!="删除"</formula>
    </cfRule>
  </conditionalFormatting>
  <conditionalFormatting sqref="F18">
    <cfRule type="expression" priority="98" dxfId="0" stopIfTrue="1">
      <formula>#REF!="变更删除"</formula>
    </cfRule>
    <cfRule type="expression" priority="99" dxfId="1" stopIfTrue="1">
      <formula>#REF!="删除"</formula>
    </cfRule>
  </conditionalFormatting>
  <conditionalFormatting sqref="E19">
    <cfRule type="expression" priority="19" dxfId="0" stopIfTrue="1">
      <formula>#REF!="变更删除"</formula>
    </cfRule>
    <cfRule type="expression" priority="20" dxfId="1" stopIfTrue="1">
      <formula>#REF!="删除"</formula>
    </cfRule>
  </conditionalFormatting>
  <conditionalFormatting sqref="F19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G19">
    <cfRule type="expression" priority="27" dxfId="0" stopIfTrue="1">
      <formula>#REF!="变更删除"</formula>
    </cfRule>
    <cfRule type="expression" priority="28" dxfId="1" stopIfTrue="1">
      <formula>#REF!="删除"</formula>
    </cfRule>
  </conditionalFormatting>
  <conditionalFormatting sqref="H19">
    <cfRule type="expression" priority="23" dxfId="0" stopIfTrue="1">
      <formula>#REF!="变更删除"</formula>
    </cfRule>
    <cfRule type="expression" priority="24" dxfId="1" stopIfTrue="1">
      <formula>#REF!="删除"</formula>
    </cfRule>
  </conditionalFormatting>
  <conditionalFormatting sqref="F20">
    <cfRule type="expression" priority="96" dxfId="0" stopIfTrue="1">
      <formula>#REF!="变更删除"</formula>
    </cfRule>
    <cfRule type="expression" priority="97" dxfId="1" stopIfTrue="1">
      <formula>#REF!="删除"</formula>
    </cfRule>
  </conditionalFormatting>
  <conditionalFormatting sqref="C21:E21">
    <cfRule type="expression" priority="32" dxfId="0" stopIfTrue="1">
      <formula>#REF!="变更删除"</formula>
    </cfRule>
    <cfRule type="expression" priority="33" dxfId="1" stopIfTrue="1">
      <formula>#REF!="删除"</formula>
    </cfRule>
  </conditionalFormatting>
  <conditionalFormatting sqref="F21">
    <cfRule type="expression" priority="29" dxfId="0" stopIfTrue="1">
      <formula>#REF!="变更删除"</formula>
    </cfRule>
    <cfRule type="expression" priority="30" dxfId="1" stopIfTrue="1">
      <formula>#REF!="删除"</formula>
    </cfRule>
  </conditionalFormatting>
  <conditionalFormatting sqref="G21">
    <cfRule type="expression" priority="34" dxfId="0" stopIfTrue="1">
      <formula>#REF!="变更删除"</formula>
    </cfRule>
    <cfRule type="expression" priority="35" dxfId="1" stopIfTrue="1">
      <formula>#REF!="删除"</formula>
    </cfRule>
  </conditionalFormatting>
  <conditionalFormatting sqref="H21">
    <cfRule type="expression" priority="10" dxfId="1" stopIfTrue="1">
      <formula>#REF!="删除"</formula>
    </cfRule>
    <cfRule type="expression" priority="9" dxfId="0" stopIfTrue="1">
      <formula>#REF!="变更删除"</formula>
    </cfRule>
  </conditionalFormatting>
  <conditionalFormatting sqref="E25">
    <cfRule type="expression" priority="85" dxfId="0" stopIfTrue="1">
      <formula>#REF!="变更删除"</formula>
    </cfRule>
    <cfRule type="expression" priority="86" dxfId="1" stopIfTrue="1">
      <formula>#REF!="删除"</formula>
    </cfRule>
  </conditionalFormatting>
  <conditionalFormatting sqref="F25">
    <cfRule type="expression" priority="81" dxfId="0" stopIfTrue="1">
      <formula>#REF!="变更删除"</formula>
    </cfRule>
    <cfRule type="expression" priority="82" dxfId="1" stopIfTrue="1">
      <formula>#REF!="删除"</formula>
    </cfRule>
  </conditionalFormatting>
  <conditionalFormatting sqref="E26">
    <cfRule type="expression" priority="50" dxfId="0" stopIfTrue="1">
      <formula>#REF!="变更删除"</formula>
    </cfRule>
    <cfRule type="expression" priority="51" dxfId="1" stopIfTrue="1">
      <formula>#REF!="删除"</formula>
    </cfRule>
  </conditionalFormatting>
  <conditionalFormatting sqref="F26">
    <cfRule type="expression" priority="47" dxfId="0" stopIfTrue="1">
      <formula>#REF!="变更删除"</formula>
    </cfRule>
    <cfRule type="expression" priority="48" dxfId="1" stopIfTrue="1">
      <formula>#REF!="删除"</formula>
    </cfRule>
  </conditionalFormatting>
  <conditionalFormatting sqref="G26">
    <cfRule type="expression" priority="58" dxfId="0" stopIfTrue="1">
      <formula>#REF!="变更删除"</formula>
    </cfRule>
    <cfRule type="expression" priority="59" dxfId="1" stopIfTrue="1">
      <formula>#REF!="删除"</formula>
    </cfRule>
  </conditionalFormatting>
  <conditionalFormatting sqref="H26">
    <cfRule type="expression" priority="54" dxfId="0" stopIfTrue="1">
      <formula>#REF!="变更删除"</formula>
    </cfRule>
    <cfRule type="expression" priority="55" dxfId="1" stopIfTrue="1">
      <formula>#REF!="删除"</formula>
    </cfRule>
  </conditionalFormatting>
  <conditionalFormatting sqref="F27">
    <cfRule type="expression" priority="79" dxfId="0" stopIfTrue="1">
      <formula>#REF!="变更删除"</formula>
    </cfRule>
    <cfRule type="expression" priority="80" dxfId="1" stopIfTrue="1">
      <formula>#REF!="删除"</formula>
    </cfRule>
  </conditionalFormatting>
  <conditionalFormatting sqref="H27">
    <cfRule type="expression" priority="8" dxfId="1" stopIfTrue="1">
      <formula>#REF!="删除"</formula>
    </cfRule>
    <cfRule type="expression" priority="7" dxfId="0" stopIfTrue="1">
      <formula>#REF!="变更删除"</formula>
    </cfRule>
  </conditionalFormatting>
  <conditionalFormatting sqref="C28:E28">
    <cfRule type="expression" priority="41" dxfId="0" stopIfTrue="1">
      <formula>#REF!="变更删除"</formula>
    </cfRule>
    <cfRule type="expression" priority="42" dxfId="1" stopIfTrue="1">
      <formula>#REF!="删除"</formula>
    </cfRule>
  </conditionalFormatting>
  <conditionalFormatting sqref="F28">
    <cfRule type="expression" priority="38" dxfId="0" stopIfTrue="1">
      <formula>#REF!="变更删除"</formula>
    </cfRule>
    <cfRule type="expression" priority="39" dxfId="1" stopIfTrue="1">
      <formula>#REF!="删除"</formula>
    </cfRule>
  </conditionalFormatting>
  <conditionalFormatting sqref="G28">
    <cfRule type="expression" priority="43" dxfId="0" stopIfTrue="1">
      <formula>#REF!="变更删除"</formula>
    </cfRule>
    <cfRule type="expression" priority="44" dxfId="1" stopIfTrue="1">
      <formula>#REF!="删除"</formula>
    </cfRule>
  </conditionalFormatting>
  <conditionalFormatting sqref="H28">
    <cfRule type="expression" priority="6" dxfId="1" stopIfTrue="1">
      <formula>#REF!="删除"</formula>
    </cfRule>
    <cfRule type="expression" priority="5" dxfId="0" stopIfTrue="1">
      <formula>#REF!="变更删除"</formula>
    </cfRule>
  </conditionalFormatting>
  <conditionalFormatting sqref="E29">
    <cfRule type="expression" priority="414" dxfId="0" stopIfTrue="1">
      <formula>#REF!="变更删除"</formula>
    </cfRule>
    <cfRule type="expression" priority="415" dxfId="1" stopIfTrue="1">
      <formula>#REF!="删除"</formula>
    </cfRule>
  </conditionalFormatting>
  <conditionalFormatting sqref="F29">
    <cfRule type="expression" priority="77" dxfId="0" stopIfTrue="1">
      <formula>#REF!="变更删除"</formula>
    </cfRule>
    <cfRule type="expression" priority="78" dxfId="1" stopIfTrue="1">
      <formula>#REF!="删除"</formula>
    </cfRule>
  </conditionalFormatting>
  <conditionalFormatting sqref="H29:I29">
    <cfRule type="expression" priority="273" dxfId="0" stopIfTrue="1">
      <formula>#REF!="变更删除"</formula>
    </cfRule>
    <cfRule type="expression" priority="274" dxfId="1" stopIfTrue="1">
      <formula>#REF!="删除"</formula>
    </cfRule>
  </conditionalFormatting>
  <conditionalFormatting sqref="C30:E30">
    <cfRule type="expression" priority="268" dxfId="0" stopIfTrue="1">
      <formula>#REF!="变更删除"</formula>
    </cfRule>
    <cfRule type="expression" priority="269" dxfId="1" stopIfTrue="1">
      <formula>#REF!="删除"</formula>
    </cfRule>
  </conditionalFormatting>
  <conditionalFormatting sqref="F30">
    <cfRule type="expression" priority="73" dxfId="0" stopIfTrue="1">
      <formula>#REF!="变更删除"</formula>
    </cfRule>
    <cfRule type="expression" priority="74" dxfId="1" stopIfTrue="1">
      <formula>#REF!="删除"</formula>
    </cfRule>
  </conditionalFormatting>
  <conditionalFormatting sqref="G30:J30">
    <cfRule type="expression" priority="270" dxfId="0" stopIfTrue="1">
      <formula>#REF!="变更删除"</formula>
    </cfRule>
    <cfRule type="expression" priority="271" dxfId="1" stopIfTrue="1">
      <formula>#REF!="删除"</formula>
    </cfRule>
  </conditionalFormatting>
  <conditionalFormatting sqref="C31:D31">
    <cfRule type="expression" priority="352" dxfId="0" stopIfTrue="1">
      <formula>#REF!="变更删除"</formula>
    </cfRule>
    <cfRule type="expression" priority="353" dxfId="1" stopIfTrue="1">
      <formula>#REF!="删除"</formula>
    </cfRule>
  </conditionalFormatting>
  <conditionalFormatting sqref="E31">
    <cfRule type="expression" priority="348" dxfId="0" stopIfTrue="1">
      <formula>#REF!="变更删除"</formula>
    </cfRule>
    <cfRule type="expression" priority="349" dxfId="1" stopIfTrue="1">
      <formula>#REF!="删除"</formula>
    </cfRule>
  </conditionalFormatting>
  <conditionalFormatting sqref="F31">
    <cfRule type="expression" priority="69" dxfId="0" stopIfTrue="1">
      <formula>#REF!="变更删除"</formula>
    </cfRule>
    <cfRule type="expression" priority="70" dxfId="1" stopIfTrue="1">
      <formula>#REF!="删除"</formula>
    </cfRule>
  </conditionalFormatting>
  <conditionalFormatting sqref="G31">
    <cfRule type="expression" priority="350" dxfId="0" stopIfTrue="1">
      <formula>#REF!="变更删除"</formula>
    </cfRule>
    <cfRule type="expression" priority="351" dxfId="1" stopIfTrue="1">
      <formula>#REF!="删除"</formula>
    </cfRule>
  </conditionalFormatting>
  <conditionalFormatting sqref="H31:I31">
    <cfRule type="expression" priority="354" dxfId="0" stopIfTrue="1">
      <formula>#REF!="变更删除"</formula>
    </cfRule>
    <cfRule type="expression" priority="355" dxfId="1" stopIfTrue="1">
      <formula>#REF!="删除"</formula>
    </cfRule>
  </conditionalFormatting>
  <conditionalFormatting sqref="C32:D32">
    <cfRule type="expression" priority="255" dxfId="0" stopIfTrue="1">
      <formula>#REF!="变更删除"</formula>
    </cfRule>
    <cfRule type="expression" priority="256" dxfId="1" stopIfTrue="1">
      <formula>#REF!="删除"</formula>
    </cfRule>
  </conditionalFormatting>
  <conditionalFormatting sqref="E32">
    <cfRule type="expression" priority="251" dxfId="0" stopIfTrue="1">
      <formula>#REF!="变更删除"</formula>
    </cfRule>
    <cfRule type="expression" priority="252" dxfId="1" stopIfTrue="1">
      <formula>#REF!="删除"</formula>
    </cfRule>
  </conditionalFormatting>
  <conditionalFormatting sqref="F32">
    <cfRule type="expression" priority="67" dxfId="0" stopIfTrue="1">
      <formula>#REF!="变更删除"</formula>
    </cfRule>
    <cfRule type="expression" priority="68" dxfId="1" stopIfTrue="1">
      <formula>#REF!="删除"</formula>
    </cfRule>
  </conditionalFormatting>
  <conditionalFormatting sqref="G32">
    <cfRule type="expression" priority="253" dxfId="0" stopIfTrue="1">
      <formula>#REF!="变更删除"</formula>
    </cfRule>
    <cfRule type="expression" priority="254" dxfId="1" stopIfTrue="1">
      <formula>#REF!="删除"</formula>
    </cfRule>
  </conditionalFormatting>
  <conditionalFormatting sqref="H32:I32">
    <cfRule type="expression" priority="247" dxfId="0" stopIfTrue="1">
      <formula>#REF!="变更删除"</formula>
    </cfRule>
    <cfRule type="expression" priority="248" dxfId="1" stopIfTrue="1">
      <formula>#REF!="删除"</formula>
    </cfRule>
  </conditionalFormatting>
  <conditionalFormatting sqref="J32">
    <cfRule type="expression" priority="261" dxfId="0" stopIfTrue="1">
      <formula>#REF!="变更删除"</formula>
    </cfRule>
    <cfRule type="expression" priority="262" dxfId="1" stopIfTrue="1">
      <formula>#REF!="删除"</formula>
    </cfRule>
  </conditionalFormatting>
  <conditionalFormatting sqref="C33:D33">
    <cfRule type="expression" priority="230" dxfId="0" stopIfTrue="1">
      <formula>#REF!="变更删除"</formula>
    </cfRule>
    <cfRule type="expression" priority="231" dxfId="1" stopIfTrue="1">
      <formula>#REF!="删除"</formula>
    </cfRule>
  </conditionalFormatting>
  <conditionalFormatting sqref="E33">
    <cfRule type="expression" priority="236" dxfId="0" stopIfTrue="1">
      <formula>#REF!="变更删除"</formula>
    </cfRule>
    <cfRule type="expression" priority="237" dxfId="1" stopIfTrue="1">
      <formula>#REF!="删除"</formula>
    </cfRule>
  </conditionalFormatting>
  <conditionalFormatting sqref="F33">
    <cfRule type="expression" priority="65" dxfId="0" stopIfTrue="1">
      <formula>#REF!="变更删除"</formula>
    </cfRule>
    <cfRule type="expression" priority="66" dxfId="1" stopIfTrue="1">
      <formula>#REF!="删除"</formula>
    </cfRule>
  </conditionalFormatting>
  <conditionalFormatting sqref="G33">
    <cfRule type="expression" priority="238" dxfId="0" stopIfTrue="1">
      <formula>#REF!="变更删除"</formula>
    </cfRule>
    <cfRule type="expression" priority="239" dxfId="1" stopIfTrue="1">
      <formula>#REF!="删除"</formula>
    </cfRule>
  </conditionalFormatting>
  <conditionalFormatting sqref="H33:I33">
    <cfRule type="expression" priority="226" dxfId="0" stopIfTrue="1">
      <formula>#REF!="变更删除"</formula>
    </cfRule>
    <cfRule type="expression" priority="227" dxfId="1" stopIfTrue="1">
      <formula>#REF!="删除"</formula>
    </cfRule>
  </conditionalFormatting>
  <conditionalFormatting sqref="J33">
    <cfRule type="expression" priority="244" dxfId="0" stopIfTrue="1">
      <formula>#REF!="变更删除"</formula>
    </cfRule>
    <cfRule type="expression" priority="245" dxfId="1" stopIfTrue="1">
      <formula>#REF!="删除"</formula>
    </cfRule>
  </conditionalFormatting>
  <conditionalFormatting sqref="K33">
    <cfRule type="cellIs" priority="1" operator="equal" dxfId="2" stopIfTrue="1">
      <formula>#REF!</formula>
    </cfRule>
  </conditionalFormatting>
  <conditionalFormatting sqref="K15:K17">
    <cfRule type="cellIs" priority="626" operator="equal" dxfId="2" stopIfTrue="1">
      <formula>#REF!</formula>
    </cfRule>
  </conditionalFormatting>
  <conditionalFormatting sqref="K18:K32">
    <cfRule type="cellIs" priority="2" operator="equal" dxfId="2" stopIfTrue="1">
      <formula>#REF!</formula>
    </cfRule>
  </conditionalFormatting>
  <conditionalFormatting sqref="K13:K14 M14:P14">
    <cfRule type="cellIs" priority="621" operator="equal" dxfId="3" stopIfTrue="1">
      <formula>"BLOCK"</formula>
    </cfRule>
    <cfRule type="cellIs" priority="622" operator="equal" dxfId="4" stopIfTrue="1">
      <formula>"NG"</formula>
    </cfRule>
    <cfRule type="cellIs" priority="623" operator="equal" dxfId="5" stopIfTrue="1">
      <formula>"OK"</formula>
    </cfRule>
  </conditionalFormatting>
  <conditionalFormatting sqref="B15:F17 B18:B28 B29:D29 B30:B35">
    <cfRule type="expression" priority="619" dxfId="0" stopIfTrue="1">
      <formula>#REF!="变更删除"</formula>
    </cfRule>
    <cfRule type="expression" priority="620" dxfId="1" stopIfTrue="1">
      <formula>#REF!="删除"</formula>
    </cfRule>
  </conditionalFormatting>
  <conditionalFormatting sqref="G15:I17 G18 G29">
    <cfRule type="expression" priority="624" dxfId="0" stopIfTrue="1">
      <formula>#REF!="变更删除"</formula>
    </cfRule>
    <cfRule type="expression" priority="625" dxfId="1" stopIfTrue="1">
      <formula>#REF!="删除"</formula>
    </cfRule>
  </conditionalFormatting>
  <conditionalFormatting sqref="C18 C20:E20 E18">
    <cfRule type="expression" priority="292" dxfId="0" stopIfTrue="1">
      <formula>#REF!="变更删除"</formula>
    </cfRule>
    <cfRule type="expression" priority="293" dxfId="1" stopIfTrue="1">
      <formula>#REF!="删除"</formula>
    </cfRule>
  </conditionalFormatting>
  <conditionalFormatting sqref="G20:H20 H18">
    <cfRule type="expression" priority="294" dxfId="0" stopIfTrue="1">
      <formula>#REF!="变更删除"</formula>
    </cfRule>
    <cfRule type="expression" priority="295" dxfId="1" stopIfTrue="1">
      <formula>#REF!="删除"</formula>
    </cfRule>
  </conditionalFormatting>
  <conditionalFormatting sqref="C19 E19">
    <cfRule type="expression" priority="21" dxfId="0" stopIfTrue="1">
      <formula>#REF!="变更删除"</formula>
    </cfRule>
    <cfRule type="expression" priority="22" dxfId="1" stopIfTrue="1">
      <formula>#REF!="删除"</formula>
    </cfRule>
  </conditionalFormatting>
  <conditionalFormatting sqref="C22:F24">
    <cfRule type="expression" priority="91" dxfId="0" stopIfTrue="1">
      <formula>#REF!="变更删除"</formula>
    </cfRule>
    <cfRule type="expression" priority="92" dxfId="1" stopIfTrue="1">
      <formula>#REF!="删除"</formula>
    </cfRule>
  </conditionalFormatting>
  <conditionalFormatting sqref="G22:I24 G25">
    <cfRule type="expression" priority="93" dxfId="0" stopIfTrue="1">
      <formula>#REF!="变更删除"</formula>
    </cfRule>
    <cfRule type="expression" priority="94" dxfId="1" stopIfTrue="1">
      <formula>#REF!="删除"</formula>
    </cfRule>
  </conditionalFormatting>
  <conditionalFormatting sqref="C25 C27:E27 E25">
    <cfRule type="expression" priority="87" dxfId="0" stopIfTrue="1">
      <formula>#REF!="变更删除"</formula>
    </cfRule>
    <cfRule type="expression" priority="88" dxfId="1" stopIfTrue="1">
      <formula>#REF!="删除"</formula>
    </cfRule>
  </conditionalFormatting>
  <conditionalFormatting sqref="G27 H25">
    <cfRule type="expression" priority="89" dxfId="0" stopIfTrue="1">
      <formula>#REF!="变更删除"</formula>
    </cfRule>
    <cfRule type="expression" priority="90" dxfId="1" stopIfTrue="1">
      <formula>#REF!="删除"</formula>
    </cfRule>
  </conditionalFormatting>
  <conditionalFormatting sqref="C26 E26">
    <cfRule type="expression" priority="52" dxfId="0" stopIfTrue="1">
      <formula>#REF!="变更删除"</formula>
    </cfRule>
    <cfRule type="expression" priority="53" dxfId="1" stopIfTrue="1">
      <formula>#REF!="删除"</formula>
    </cfRule>
  </conditionalFormatting>
  <dataValidations count="1">
    <dataValidation sqref="I36:J1048576" showDropDown="0" showInputMessage="0" showErrorMessage="1" allowBlank="1" errorStyle="information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topLeftCell="B1" workbookViewId="0">
      <selection activeCell="F15" sqref="F15"/>
    </sheetView>
  </sheetViews>
  <sheetFormatPr baseColWidth="8" defaultColWidth="14" defaultRowHeight="12"/>
  <cols>
    <col width="3.42857142857143" customWidth="1" style="2" min="1" max="1"/>
    <col width="17.1428571428571" customWidth="1" style="47" min="2" max="2"/>
    <col width="14.2857142857143" customWidth="1" style="47" min="3" max="3"/>
    <col width="17" customWidth="1" style="2" min="4" max="4"/>
    <col width="25.0285714285714" customWidth="1" style="2" min="5" max="5"/>
    <col width="36" customWidth="1" style="2" min="6" max="6"/>
    <col width="42" customWidth="1" style="2" min="7" max="7"/>
    <col width="38.447619047619" customWidth="1" style="2" min="8" max="8"/>
    <col width="14" customWidth="1" style="2" min="9" max="10"/>
    <col width="14" customWidth="1" style="47" min="11" max="11"/>
    <col width="21" customWidth="1" style="47" min="12" max="12"/>
    <col width="30.1428571428571" customWidth="1" style="2" min="13" max="13"/>
    <col width="29" customWidth="1" style="47" min="14" max="14"/>
    <col width="14" customWidth="1" style="2" min="15" max="15"/>
    <col width="29" customWidth="1" style="2" min="16" max="16"/>
    <col width="14" customWidth="1" style="2" min="17" max="14281"/>
  </cols>
  <sheetData>
    <row r="1" ht="13.5" customHeight="1" s="23">
      <c r="A1" s="48" t="n"/>
      <c r="B1" s="49" t="n"/>
      <c r="C1" s="49" t="n"/>
      <c r="D1" s="48" t="n"/>
      <c r="E1" s="48" t="n"/>
      <c r="F1" s="48" t="n"/>
      <c r="G1" s="48" t="n"/>
      <c r="H1" s="48" t="n"/>
      <c r="I1" s="48" t="n"/>
      <c r="J1" s="48" t="n"/>
      <c r="K1" s="49" t="n"/>
      <c r="L1" s="49" t="n"/>
      <c r="M1" s="48" t="n"/>
      <c r="N1" s="49" t="n"/>
      <c r="O1" s="48" t="n"/>
      <c r="P1" s="48" t="n"/>
    </row>
    <row r="2" ht="24.75" customHeight="1" s="23">
      <c r="A2" s="48" t="n"/>
      <c r="B2" s="201" t="inlineStr">
        <is>
          <t>故障测试
Fault Testing</t>
        </is>
      </c>
      <c r="C2" s="51" t="n"/>
      <c r="D2" s="202" t="n"/>
      <c r="E2" s="202" t="n"/>
      <c r="F2" s="202" t="n"/>
      <c r="G2" s="202" t="n"/>
      <c r="H2" s="202" t="n"/>
      <c r="I2" s="202" t="n"/>
      <c r="J2" s="202" t="n"/>
      <c r="K2" s="203" t="n"/>
      <c r="L2" s="204" t="n"/>
      <c r="M2" s="202" t="n"/>
      <c r="N2" s="204" t="n"/>
      <c r="O2" s="202" t="n"/>
      <c r="P2" s="202" t="n"/>
    </row>
    <row r="3" ht="25.5" customHeight="1" s="23">
      <c r="A3" s="48" t="n"/>
      <c r="B3" s="55" t="n"/>
      <c r="C3" s="56" t="n"/>
      <c r="D3" s="202" t="n"/>
      <c r="E3" s="202" t="n"/>
      <c r="F3" s="202" t="n"/>
      <c r="G3" s="202" t="n"/>
      <c r="H3" s="202" t="n"/>
      <c r="I3" s="202" t="n"/>
      <c r="J3" s="202" t="n"/>
      <c r="K3" s="203" t="n"/>
      <c r="L3" s="204" t="n"/>
      <c r="M3" s="202" t="n"/>
      <c r="N3" s="204" t="n"/>
      <c r="O3" s="202" t="n"/>
      <c r="P3" s="202" t="n"/>
    </row>
    <row r="4" s="23">
      <c r="A4" s="48" t="n"/>
      <c r="B4" s="205" t="inlineStr">
        <is>
          <t>Total</t>
        </is>
      </c>
      <c r="C4" s="206">
        <f>COUNTA(B15:B73)</f>
        <v/>
      </c>
      <c r="D4" s="202" t="n"/>
      <c r="E4" s="202" t="n"/>
      <c r="F4" s="207" t="n"/>
      <c r="G4" s="202" t="n"/>
      <c r="H4" s="202" t="n"/>
      <c r="I4" s="202" t="n"/>
      <c r="J4" s="202" t="n"/>
      <c r="K4" s="203" t="n"/>
      <c r="L4" s="204" t="n"/>
      <c r="M4" s="202" t="n"/>
      <c r="N4" s="204" t="n"/>
      <c r="O4" s="202" t="n"/>
      <c r="P4" s="202" t="n"/>
    </row>
    <row r="5" s="23">
      <c r="A5" s="48" t="n"/>
      <c r="B5" s="205" t="inlineStr">
        <is>
          <t>Pass</t>
        </is>
      </c>
      <c r="C5" s="206">
        <f>COUNTIF(K15:K75,B5)</f>
        <v/>
      </c>
      <c r="D5" s="202" t="n"/>
      <c r="E5" s="202" t="n"/>
      <c r="F5" s="207" t="n"/>
      <c r="G5" s="202" t="n"/>
      <c r="H5" s="202" t="n"/>
      <c r="I5" s="202" t="n"/>
      <c r="J5" s="202" t="n"/>
      <c r="K5" s="203" t="n"/>
      <c r="L5" s="204" t="n"/>
      <c r="M5" s="202" t="n"/>
      <c r="N5" s="204" t="n"/>
      <c r="O5" s="202" t="n"/>
      <c r="P5" s="202" t="n"/>
    </row>
    <row r="6" s="23">
      <c r="A6" s="48" t="n"/>
      <c r="B6" s="205" t="inlineStr">
        <is>
          <t>Fail</t>
        </is>
      </c>
      <c r="C6" s="206">
        <f>COUNTIF(K15:K807,B6)</f>
        <v/>
      </c>
      <c r="D6" s="202" t="n"/>
      <c r="E6" s="202" t="n"/>
      <c r="F6" s="207" t="n"/>
      <c r="G6" s="202" t="n"/>
      <c r="H6" s="202" t="n"/>
      <c r="I6" s="202" t="n"/>
      <c r="J6" s="202" t="n"/>
      <c r="K6" s="203" t="n"/>
      <c r="L6" s="204" t="n"/>
      <c r="M6" s="202" t="n"/>
      <c r="N6" s="204" t="n"/>
      <c r="O6" s="202" t="n"/>
      <c r="P6" s="202" t="n"/>
    </row>
    <row r="7" s="23">
      <c r="A7" s="48" t="n"/>
      <c r="B7" s="205" t="inlineStr">
        <is>
          <t>NT</t>
        </is>
      </c>
      <c r="C7" s="206">
        <f>COUNTIF(K15:K807,B7)</f>
        <v/>
      </c>
      <c r="D7" s="202" t="n"/>
      <c r="E7" s="202" t="n"/>
      <c r="F7" s="207" t="n"/>
      <c r="G7" s="202" t="n"/>
      <c r="H7" s="202" t="n"/>
      <c r="I7" s="202" t="n"/>
      <c r="J7" s="202" t="n"/>
      <c r="K7" s="203" t="n"/>
      <c r="L7" s="204" t="n"/>
      <c r="M7" s="202" t="n"/>
      <c r="N7" s="204" t="n"/>
      <c r="O7" s="202" t="n"/>
      <c r="P7" s="202" t="n"/>
    </row>
    <row r="8" s="23">
      <c r="A8" s="48" t="n"/>
      <c r="B8" s="205" t="inlineStr">
        <is>
          <t>BLOCK</t>
        </is>
      </c>
      <c r="C8" s="206">
        <f>COUNTIF(K15:K807,B8)</f>
        <v/>
      </c>
      <c r="D8" s="202" t="n"/>
      <c r="E8" s="202" t="n"/>
      <c r="F8" s="207" t="n"/>
      <c r="G8" s="202" t="n"/>
      <c r="H8" s="202" t="n"/>
      <c r="I8" s="202" t="n"/>
      <c r="J8" s="202" t="n"/>
      <c r="K8" s="203" t="n"/>
      <c r="L8" s="204" t="n"/>
      <c r="M8" s="202" t="n"/>
      <c r="N8" s="204" t="n"/>
      <c r="O8" s="202" t="n"/>
      <c r="P8" s="202" t="n"/>
    </row>
    <row r="9" s="23">
      <c r="A9" s="48" t="n"/>
      <c r="B9" s="205" t="inlineStr">
        <is>
          <t>NA</t>
        </is>
      </c>
      <c r="C9" s="206">
        <f>COUNTIF(K15:K807,B9)</f>
        <v/>
      </c>
      <c r="D9" s="202" t="n"/>
      <c r="E9" s="202" t="n"/>
      <c r="F9" s="207" t="n"/>
      <c r="G9" s="202" t="n"/>
      <c r="H9" s="202" t="n"/>
      <c r="I9" s="202" t="n"/>
      <c r="J9" s="202" t="n"/>
      <c r="K9" s="203" t="n"/>
      <c r="L9" s="204" t="n"/>
      <c r="M9" s="202" t="n"/>
      <c r="N9" s="204" t="n"/>
      <c r="O9" s="202" t="n"/>
      <c r="P9" s="202" t="n"/>
    </row>
    <row r="10" s="23">
      <c r="A10" s="48" t="n"/>
      <c r="B10" s="205" t="inlineStr">
        <is>
          <t>Pass Rate</t>
        </is>
      </c>
      <c r="C10" s="208">
        <f>C5/(C5+C6+C8)</f>
        <v/>
      </c>
      <c r="D10" s="202" t="n"/>
      <c r="E10" s="202" t="n"/>
      <c r="F10" s="207" t="n"/>
      <c r="G10" s="202" t="n"/>
      <c r="H10" s="202" t="n"/>
      <c r="I10" s="202" t="n"/>
      <c r="J10" s="202" t="n"/>
      <c r="K10" s="203" t="n"/>
      <c r="L10" s="204" t="n"/>
      <c r="M10" s="202" t="n"/>
      <c r="N10" s="204" t="n"/>
      <c r="O10" s="202" t="n"/>
      <c r="P10" s="202" t="n"/>
    </row>
    <row r="11" s="23">
      <c r="A11" s="48" t="n"/>
      <c r="B11" s="209" t="inlineStr">
        <is>
          <t>Fail Rate</t>
        </is>
      </c>
      <c r="C11" s="210">
        <f>C6/(C5+C6+C8)</f>
        <v/>
      </c>
      <c r="D11" s="202" t="n"/>
      <c r="E11" s="202" t="n"/>
      <c r="F11" s="207" t="n"/>
      <c r="G11" s="202" t="n"/>
      <c r="H11" s="202" t="n"/>
      <c r="I11" s="202" t="n"/>
      <c r="J11" s="202" t="n"/>
      <c r="K11" s="203" t="n"/>
      <c r="L11" s="204" t="n"/>
      <c r="M11" s="202" t="n"/>
      <c r="N11" s="204" t="n"/>
      <c r="O11" s="202" t="n"/>
      <c r="P11" s="202" t="n"/>
    </row>
    <row r="12" s="23">
      <c r="A12" s="48" t="n"/>
      <c r="B12" s="63" t="n"/>
      <c r="C12" s="63" t="n"/>
      <c r="D12" s="48" t="n"/>
      <c r="E12" s="48" t="n"/>
      <c r="F12" s="48" t="n"/>
      <c r="G12" s="48" t="n"/>
      <c r="H12" s="48" t="n"/>
      <c r="I12" s="48" t="n"/>
      <c r="J12" s="48" t="n"/>
      <c r="K12" s="49" t="n"/>
      <c r="L12" s="49" t="n"/>
      <c r="M12" s="48" t="n"/>
      <c r="N12" s="49" t="n"/>
      <c r="O12" s="48" t="n"/>
      <c r="P12" s="48" t="n"/>
    </row>
    <row r="13" ht="13.5" customHeight="1" s="23">
      <c r="A13" s="48" t="n"/>
      <c r="B13" s="211" t="inlineStr">
        <is>
          <t>测试用例ID
Test Case ID</t>
        </is>
      </c>
      <c r="C13" s="212" t="inlineStr">
        <is>
          <t>测试类型
Test Type</t>
        </is>
      </c>
      <c r="D13" s="212" t="inlineStr">
        <is>
          <t>测试用例设计方法
Test Case Design Methodology</t>
        </is>
      </c>
      <c r="E13" s="212" t="inlineStr">
        <is>
          <t>测试用例描述
Test Case Description</t>
        </is>
      </c>
      <c r="F13" s="212" t="inlineStr">
        <is>
          <t>前置条件
Prerequisites</t>
        </is>
      </c>
      <c r="G13" s="212" t="inlineStr">
        <is>
          <t>测试步骤
Testing Steps</t>
        </is>
      </c>
      <c r="H13" s="212" t="inlineStr">
        <is>
          <t>预期结果
Expected Results</t>
        </is>
      </c>
      <c r="I13" s="212" t="inlineStr">
        <is>
          <t>优先级
Priority</t>
        </is>
      </c>
      <c r="J13" s="212" t="inlineStr">
        <is>
          <t>版本变更记录
Version Change Log</t>
        </is>
      </c>
      <c r="K13" s="213" t="inlineStr">
        <is>
          <t>Round1</t>
        </is>
      </c>
      <c r="L13" s="67" t="n"/>
      <c r="M13" s="67" t="n"/>
      <c r="N13" s="67" t="n"/>
      <c r="O13" s="67" t="n"/>
      <c r="P13" s="68" t="n"/>
    </row>
    <row r="14" s="23">
      <c r="A14" s="48" t="n"/>
      <c r="B14" s="69" t="n"/>
      <c r="C14" s="70" t="n"/>
      <c r="D14" s="70" t="n"/>
      <c r="E14" s="70" t="n"/>
      <c r="F14" s="70" t="n"/>
      <c r="G14" s="70" t="n"/>
      <c r="H14" s="70" t="n"/>
      <c r="I14" s="70" t="n"/>
      <c r="J14" s="70" t="n"/>
      <c r="K14" s="214" t="inlineStr">
        <is>
          <t>实际结果/Actual results</t>
        </is>
      </c>
      <c r="L14" s="214" t="inlineStr">
        <is>
          <t>BUG</t>
        </is>
      </c>
      <c r="M14" s="214" t="inlineStr">
        <is>
          <t>备注(测试结果的log及图片等打包对应插入此列)
Notes (Test results logs, images, etc., should be packaged and inserted into this column)</t>
        </is>
      </c>
      <c r="N14" s="214" t="inlineStr">
        <is>
          <t>测试版本/Test Version</t>
        </is>
      </c>
      <c r="O14" s="214" t="inlineStr">
        <is>
          <t>实施者/Implementer</t>
        </is>
      </c>
      <c r="P14" s="215" t="inlineStr">
        <is>
          <t>测试日期/Date</t>
        </is>
      </c>
    </row>
    <row r="15" ht="236.25" customHeight="1" s="23"/>
    <row r="16" ht="258.75" customFormat="1" customHeight="1" s="46"/>
    <row r="17" ht="258.75" customHeight="1" s="23"/>
    <row r="26" ht="108.5" customHeight="1" s="23"/>
    <row r="27" ht="72" customHeight="1" s="23"/>
  </sheetData>
  <autoFilter ref="A13:P27"/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G15:I15">
    <cfRule type="expression" priority="95" dxfId="0" stopIfTrue="1">
      <formula>#REF!="变更删除"</formula>
    </cfRule>
    <cfRule type="expression" priority="96" dxfId="1" stopIfTrue="1">
      <formula>#REF!="删除"</formula>
    </cfRule>
  </conditionalFormatting>
  <conditionalFormatting sqref="K15">
    <cfRule type="cellIs" priority="97" operator="equal" dxfId="2" stopIfTrue="1">
      <formula>#REF!</formula>
    </cfRule>
  </conditionalFormatting>
  <conditionalFormatting sqref="K13:K14 M14:P14">
    <cfRule type="cellIs" priority="92" operator="equal" dxfId="3" stopIfTrue="1">
      <formula>"BLOCK"</formula>
    </cfRule>
    <cfRule type="cellIs" priority="93" operator="equal" dxfId="4" stopIfTrue="1">
      <formula>"NG"</formula>
    </cfRule>
    <cfRule type="cellIs" priority="94" operator="equal" dxfId="5" stopIfTrue="1">
      <formula>"OK"</formula>
    </cfRule>
  </conditionalFormatting>
  <conditionalFormatting sqref="B15:F15 B16:B27">
    <cfRule type="expression" priority="90" dxfId="0" stopIfTrue="1">
      <formula>#REF!="变更删除"</formula>
    </cfRule>
    <cfRule type="expression" priority="91" dxfId="1" stopIfTrue="1">
      <formula>#REF!="删除"</formula>
    </cfRule>
  </conditionalFormatting>
  <dataValidations count="1">
    <dataValidation sqref="I28:J1048576" showDropDown="0" showInputMessage="0" showErrorMessage="1" allowBlank="1" errorStyle="information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M45" sqref="M45"/>
    </sheetView>
  </sheetViews>
  <sheetFormatPr baseColWidth="8" defaultColWidth="9.142857142857141" defaultRowHeight="12"/>
  <cols>
    <col width="14.2857142857143" customWidth="1" style="23" min="1" max="1"/>
    <col width="22.6380952380952" customWidth="1" style="23" min="15" max="15"/>
    <col width="14.7809523809524" customWidth="1" style="23" min="16" max="16"/>
    <col width="34.4285714285714" customWidth="1" style="23" min="17" max="17"/>
    <col width="41.352380952381" customWidth="1" style="23" min="18" max="18"/>
  </cols>
  <sheetData>
    <row r="1">
      <c r="A1" s="24" t="inlineStr">
        <is>
          <t>板子连接模组/Board Connection Module Diagram</t>
        </is>
      </c>
    </row>
    <row r="2"/>
    <row r="3">
      <c r="A3" s="25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</row>
    <row r="4" ht="56.15" customHeight="1" s="23">
      <c r="A4" s="27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</row>
    <row r="6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>
      <c r="A9" s="27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>
      <c r="A10" s="27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>
      <c r="A11" s="27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>
      <c r="A12" s="27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>
      <c r="A13" s="27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>
      <c r="A14" s="27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>
      <c r="A15" s="27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>
      <c r="A16" s="2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</row>
    <row r="17">
      <c r="A17" s="27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</row>
    <row r="18">
      <c r="A18" s="27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>
      <c r="A19" s="27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</row>
    <row r="2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>
      <c r="A22" s="27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>
      <c r="A23" s="27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>
      <c r="A24" s="27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>
      <c r="A25" s="27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>
      <c r="A26" s="27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>
      <c r="A27" s="27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>
      <c r="A28" s="27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>
      <c r="A29" s="27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</row>
    <row r="30">
      <c r="A30" s="27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>
      <c r="A31" s="27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>
      <c r="A32" s="27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</row>
    <row r="33">
      <c r="A33" s="27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</row>
    <row r="34">
      <c r="A34" s="27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</row>
    <row r="35">
      <c r="A35" s="27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</row>
    <row r="36">
      <c r="A36" s="27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</row>
    <row r="37">
      <c r="A37" s="27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</row>
    <row r="38">
      <c r="A38" s="27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</row>
    <row r="39">
      <c r="A39" s="27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</row>
    <row r="40">
      <c r="A40" s="27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</row>
    <row r="41">
      <c r="A41" s="29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</row>
    <row r="42">
      <c r="A42" s="27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31" t="n"/>
    </row>
  </sheetData>
  <mergeCells count="1"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T21"/>
  <sheetViews>
    <sheetView workbookViewId="0">
      <selection activeCell="J11" sqref="J11"/>
    </sheetView>
  </sheetViews>
  <sheetFormatPr baseColWidth="8" defaultColWidth="14" defaultRowHeight="12"/>
  <cols>
    <col width="3" customWidth="1" style="2" min="1" max="1"/>
    <col width="13" customWidth="1" style="2" min="2" max="2"/>
    <col width="27.5714285714286" customWidth="1" style="2" min="3" max="3"/>
    <col width="13" customWidth="1" style="2" min="4" max="6"/>
    <col width="11.5714285714286" customWidth="1" style="2" min="7" max="7"/>
    <col width="11" customWidth="1" style="2" min="8" max="20"/>
    <col width="14" customWidth="1" style="2" min="21" max="16384"/>
  </cols>
  <sheetData>
    <row r="1" ht="12.75" customFormat="1" customHeight="1" s="216"/>
    <row r="2" ht="30.95" customFormat="1" customHeight="1" s="216">
      <c r="A2" s="3" t="n"/>
      <c r="B2" s="4" t="inlineStr">
        <is>
          <t>模板修改控制</t>
        </is>
      </c>
      <c r="C2" s="5" t="n"/>
      <c r="D2" s="5" t="n"/>
      <c r="E2" s="5" t="n"/>
      <c r="F2" s="5" t="n"/>
      <c r="G2" s="6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7.1" customFormat="1" customHeight="1" s="216"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.1" customFormat="1" customHeight="1" s="216">
      <c r="B4" s="11" t="inlineStr">
        <is>
          <t>V1.0</t>
        </is>
      </c>
      <c r="C4" s="12" t="inlineStr">
        <is>
          <t>初版</t>
        </is>
      </c>
      <c r="D4" s="13" t="n">
        <v>44537</v>
      </c>
      <c r="E4" s="14" t="inlineStr">
        <is>
          <t>霍丹</t>
        </is>
      </c>
      <c r="F4" s="14" t="inlineStr">
        <is>
          <t>王颖</t>
        </is>
      </c>
      <c r="G4" s="15" t="inlineStr">
        <is>
          <t>吴昱</t>
        </is>
      </c>
    </row>
    <row r="5" ht="17.1" customFormat="1" customHeight="1" s="216">
      <c r="B5" s="11" t="n"/>
      <c r="C5" s="12" t="n"/>
      <c r="D5" s="16" t="n"/>
      <c r="E5" s="17" t="n"/>
      <c r="F5" s="17" t="n"/>
      <c r="G5" s="18" t="n"/>
    </row>
    <row r="6" ht="17.1" customFormat="1" customHeight="1" s="216">
      <c r="B6" s="11" t="n"/>
      <c r="C6" s="12" t="n"/>
      <c r="D6" s="16" t="n"/>
      <c r="E6" s="17" t="n"/>
      <c r="F6" s="17" t="n"/>
      <c r="G6" s="18" t="n"/>
    </row>
    <row r="7" ht="17.1" customFormat="1" customHeight="1" s="216">
      <c r="B7" s="11" t="n"/>
      <c r="C7" s="12" t="n"/>
      <c r="D7" s="12" t="n"/>
      <c r="E7" s="17" t="n"/>
      <c r="F7" s="17" t="n"/>
      <c r="G7" s="18" t="n"/>
    </row>
    <row r="8" ht="17.1" customFormat="1" customHeight="1" s="216">
      <c r="B8" s="11" t="n"/>
      <c r="C8" s="12" t="n"/>
      <c r="D8" s="12" t="n"/>
      <c r="E8" s="17" t="n"/>
      <c r="F8" s="17" t="n"/>
      <c r="G8" s="18" t="n"/>
    </row>
    <row r="9" ht="17.1" customFormat="1" customHeight="1" s="216">
      <c r="B9" s="11" t="n"/>
      <c r="C9" s="12" t="n"/>
      <c r="D9" s="12" t="n"/>
      <c r="E9" s="17" t="n"/>
      <c r="F9" s="17" t="n"/>
      <c r="G9" s="18" t="n"/>
    </row>
    <row r="10" ht="17.1" customFormat="1" customHeight="1" s="216">
      <c r="B10" s="11" t="n"/>
      <c r="C10" s="12" t="n"/>
      <c r="D10" s="12" t="n"/>
      <c r="E10" s="17" t="n"/>
      <c r="F10" s="17" t="n"/>
      <c r="G10" s="18" t="n"/>
    </row>
    <row r="11" ht="17.1" customFormat="1" customHeight="1" s="216">
      <c r="B11" s="11" t="n"/>
      <c r="C11" s="12" t="n"/>
      <c r="D11" s="12" t="n"/>
      <c r="E11" s="17" t="n"/>
      <c r="F11" s="17" t="n"/>
      <c r="G11" s="18" t="n"/>
    </row>
    <row r="12" ht="17.1" customFormat="1" customHeight="1" s="216">
      <c r="B12" s="11" t="n"/>
      <c r="C12" s="12" t="n"/>
      <c r="D12" s="12" t="n"/>
      <c r="E12" s="17" t="n"/>
      <c r="F12" s="17" t="n"/>
      <c r="G12" s="18" t="n"/>
    </row>
    <row r="13" ht="17.1" customFormat="1" customHeight="1" s="216">
      <c r="B13" s="11" t="n"/>
      <c r="C13" s="12" t="n"/>
      <c r="D13" s="12" t="n"/>
      <c r="E13" s="17" t="n"/>
      <c r="F13" s="17" t="n"/>
      <c r="G13" s="18" t="n"/>
    </row>
    <row r="14" ht="17.1" customFormat="1" customHeight="1" s="216">
      <c r="B14" s="11" t="n"/>
      <c r="C14" s="12" t="n"/>
      <c r="D14" s="12" t="n"/>
      <c r="E14" s="17" t="n"/>
      <c r="F14" s="17" t="n"/>
      <c r="G14" s="18" t="n"/>
    </row>
    <row r="15" ht="17.1" customFormat="1" customHeight="1" s="216">
      <c r="B15" s="11" t="n"/>
      <c r="C15" s="12" t="n"/>
      <c r="D15" s="12" t="n"/>
      <c r="E15" s="17" t="n"/>
      <c r="F15" s="17" t="n"/>
      <c r="G15" s="18" t="n"/>
    </row>
    <row r="16" ht="17.1" customFormat="1" customHeight="1" s="216">
      <c r="B16" s="11" t="n"/>
      <c r="C16" s="12" t="n"/>
      <c r="D16" s="12" t="n"/>
      <c r="E16" s="17" t="n"/>
      <c r="F16" s="17" t="n"/>
      <c r="G16" s="18" t="n"/>
    </row>
    <row r="17" ht="17.1" customFormat="1" customHeight="1" s="216">
      <c r="B17" s="11" t="n"/>
      <c r="C17" s="12" t="n"/>
      <c r="D17" s="12" t="n"/>
      <c r="E17" s="17" t="n"/>
      <c r="F17" s="17" t="n"/>
      <c r="G17" s="18" t="n"/>
    </row>
    <row r="18" ht="17.1" customFormat="1" customHeight="1" s="216">
      <c r="B18" s="11" t="n"/>
      <c r="C18" s="12" t="n"/>
      <c r="D18" s="12" t="n"/>
      <c r="E18" s="17" t="n"/>
      <c r="F18" s="17" t="n"/>
      <c r="G18" s="18" t="n"/>
    </row>
    <row r="19" ht="17.1" customFormat="1" customHeight="1" s="216">
      <c r="B19" s="11" t="n"/>
      <c r="C19" s="12" t="n"/>
      <c r="D19" s="12" t="n"/>
      <c r="E19" s="17" t="n"/>
      <c r="F19" s="17" t="n"/>
      <c r="G19" s="18" t="n"/>
    </row>
    <row r="20" ht="17.1" customFormat="1" customHeight="1" s="216">
      <c r="B20" s="19" t="n"/>
      <c r="C20" s="20" t="n"/>
      <c r="D20" s="20" t="n"/>
      <c r="E20" s="21" t="n"/>
      <c r="F20" s="21" t="n"/>
      <c r="G20" s="22" t="n"/>
    </row>
    <row r="21">
      <c r="B21" s="216" t="n"/>
      <c r="C21" s="216" t="n"/>
      <c r="D21" s="216" t="n"/>
      <c r="E21" s="216" t="n"/>
      <c r="F21" s="216" t="n"/>
      <c r="G21" s="216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2023-08-13T20:58:00Z</dcterms:created>
  <dcterms:modified xmlns:dcterms="http://purl.org/dc/terms/" xmlns:xsi="http://www.w3.org/2001/XMLSchema-instance" xsi:type="dcterms:W3CDTF">2026-07-03T08:20:34Z</dcterms:modified>
  <cp:lastModifiedBy>tstj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6CC260707B70493EBA3C221C17A936C7_12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