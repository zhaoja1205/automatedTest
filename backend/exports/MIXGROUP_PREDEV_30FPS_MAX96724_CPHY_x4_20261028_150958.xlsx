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645" windowHeight="12975" tabRatio="600" firstSheet="2" activeTab="4" autoFilterDateGrouping="1"/>
  </bookViews>
  <sheets>
    <sheet xmlns:r="http://schemas.openxmlformats.org/officeDocument/2006/relationships" name="文件封面" sheetId="1" state="visible" r:id="rId1"/>
    <sheet xmlns:r="http://schemas.openxmlformats.org/officeDocument/2006/relationships" name="文件修改控制" sheetId="2" state="visible" r:id="rId2"/>
    <sheet xmlns:r="http://schemas.openxmlformats.org/officeDocument/2006/relationships" name="参考資料" sheetId="3" state="visible" r:id="rId3"/>
    <sheet xmlns:r="http://schemas.openxmlformats.org/officeDocument/2006/relationships" name="数据统计" sheetId="4" state="visible" r:id="rId4"/>
    <sheet xmlns:r="http://schemas.openxmlformats.org/officeDocument/2006/relationships" name="功能测试" sheetId="5" state="visible" r:id="rId5"/>
    <sheet xmlns:r="http://schemas.openxmlformats.org/officeDocument/2006/relationships" name="故障测试" sheetId="6" state="visible" r:id="rId6"/>
    <sheet xmlns:r="http://schemas.openxmlformats.org/officeDocument/2006/relationships" name="异常场景测试" sheetId="7" state="visible" r:id="rId7"/>
    <sheet xmlns:r="http://schemas.openxmlformats.org/officeDocument/2006/relationships" name="压力测试" sheetId="8" state="visible" r:id="rId8"/>
    <sheet xmlns:r="http://schemas.openxmlformats.org/officeDocument/2006/relationships" name="稳定性测试" sheetId="9" state="visible" r:id="rId9"/>
    <sheet xmlns:r="http://schemas.openxmlformats.org/officeDocument/2006/relationships" name="BugList统计" sheetId="10" state="visible" r:id="rId10"/>
    <sheet xmlns:r="http://schemas.openxmlformats.org/officeDocument/2006/relationships" name="附录1" sheetId="11" state="visible" r:id="rId11"/>
    <sheet xmlns:r="http://schemas.openxmlformats.org/officeDocument/2006/relationships" name="模板修改控制" sheetId="12" state="visible" r:id="rId12"/>
  </sheets>
  <definedNames>
    <definedName name="_xlnm._FilterDatabase" localSheetId="4" hidden="1">'功能测试'!$B$13:$P$68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[$-411]e/"/>
    <numFmt numFmtId="165" formatCode="yyyy\-m\-d"/>
    <numFmt numFmtId="166" formatCode="000000"/>
    <numFmt numFmtId="167" formatCode="0_ "/>
    <numFmt numFmtId="168" formatCode="0.0%"/>
  </numFmts>
  <fonts count="57">
    <font>
      <name val="等线"/>
      <charset val="134"/>
      <color theme="1"/>
      <sz val="12"/>
      <scheme val="minor"/>
    </font>
    <font>
      <name val="宋体"/>
      <charset val="134"/>
      <color rgb="FF000000"/>
      <sz val="12"/>
    </font>
    <font>
      <name val="宋体"/>
      <charset val="134"/>
      <b val="1"/>
      <color rgb="FF000000"/>
      <sz val="22"/>
    </font>
    <font>
      <name val="宋体"/>
      <charset val="134"/>
      <color rgb="FF000000"/>
      <sz val="10"/>
    </font>
    <font>
      <name val="宋体"/>
      <charset val="134"/>
      <b val="1"/>
      <color rgb="FF000000"/>
      <sz val="12"/>
    </font>
    <font>
      <name val="Times New Roman"/>
      <charset val="134"/>
      <color rgb="FF000000"/>
      <sz val="12"/>
    </font>
    <font>
      <name val="等线"/>
      <charset val="134"/>
      <color rgb="FFFFFFFF"/>
      <sz val="16"/>
    </font>
    <font>
      <name val="宋体"/>
      <charset val="134"/>
      <color rgb="FF000000"/>
      <sz val="11"/>
    </font>
    <font>
      <name val="等线"/>
      <charset val="134"/>
      <color rgb="FF000000"/>
      <sz val="10"/>
    </font>
    <font>
      <name val="Calibri"/>
      <charset val="134"/>
      <color rgb="FF000000"/>
      <sz val="10"/>
    </font>
    <font>
      <name val="Calibri"/>
      <charset val="134"/>
      <b val="1"/>
      <color rgb="FFFFFFFF"/>
      <sz val="12"/>
    </font>
    <font>
      <name val="Times New Roman"/>
      <charset val="134"/>
      <color rgb="FF000000"/>
      <sz val="10"/>
    </font>
    <font>
      <name val="宋体"/>
      <charset val="134"/>
      <color rgb="FF000000"/>
      <sz val="9"/>
    </font>
    <font>
      <name val="Noto Sans CJK SC"/>
      <charset val="134"/>
      <color rgb="FF000000"/>
      <sz val="10"/>
    </font>
    <font>
      <name val="Noto Sans CJK SC"/>
      <charset val="134"/>
      <color rgb="FFD01111"/>
      <sz val="11"/>
    </font>
    <font>
      <name val="宋体"/>
      <charset val="134"/>
      <b val="1"/>
      <color rgb="FF000000"/>
      <sz val="18"/>
    </font>
    <font>
      <name val="宋体"/>
      <charset val="134"/>
      <b val="1"/>
      <color rgb="FF000000"/>
      <sz val="9"/>
    </font>
    <font>
      <name val="Droid Sans Fallback"/>
      <charset val="134"/>
      <b val="1"/>
      <color rgb="FF000000"/>
      <sz val="9"/>
    </font>
    <font>
      <name val="宋体"/>
      <charset val="134"/>
      <color theme="1"/>
      <sz val="9"/>
    </font>
    <font>
      <name val="等线"/>
      <charset val="134"/>
      <color rgb="FF000000"/>
      <sz val="10"/>
      <scheme val="minor"/>
    </font>
    <font>
      <name val="宋体"/>
      <charset val="134"/>
      <color rgb="FFFF0000"/>
      <sz val="9"/>
    </font>
    <font>
      <name val="宋体"/>
      <charset val="134"/>
      <b val="1"/>
      <color rgb="FF000000"/>
      <sz val="10"/>
    </font>
    <font>
      <name val="宋体"/>
      <charset val="134"/>
      <color theme="10"/>
      <sz val="10"/>
      <u val="single"/>
    </font>
    <font>
      <name val="宋体"/>
      <charset val="134"/>
      <color rgb="FF800080"/>
      <sz val="10"/>
      <u val="single"/>
    </font>
    <font>
      <name val="宋体"/>
      <charset val="134"/>
      <color rgb="FF0000FF"/>
      <sz val="10"/>
      <u val="single"/>
    </font>
    <font>
      <name val="Arial"/>
      <charset val="134"/>
      <b val="1"/>
      <color rgb="FF000000"/>
      <sz val="12"/>
    </font>
    <font>
      <name val="宋体"/>
      <charset val="134"/>
      <b val="1"/>
      <color rgb="FF000000"/>
      <sz val="11"/>
    </font>
    <font>
      <name val="DejaVu Sans"/>
      <charset val="134"/>
      <color rgb="FF000000"/>
      <sz val="12"/>
    </font>
    <font>
      <name val="宋体"/>
      <charset val="134"/>
      <b val="1"/>
      <color rgb="FF000000"/>
      <sz val="16"/>
    </font>
    <font>
      <name val="宋体"/>
      <charset val="134"/>
      <color rgb="FF000000"/>
      <sz val="14"/>
    </font>
    <font>
      <name val="宋体"/>
      <charset val="134"/>
      <color rgb="FF000000"/>
      <sz val="42"/>
    </font>
    <font>
      <name val="宋体"/>
      <charset val="134"/>
      <b val="1"/>
      <color rgb="FF000000"/>
      <sz val="36"/>
    </font>
    <font>
      <name val="宋体"/>
      <charset val="134"/>
      <b val="1"/>
      <color rgb="FF000000"/>
      <sz val="14"/>
    </font>
    <font>
      <name val="宋体"/>
      <charset val="134"/>
      <color rgb="FF000000"/>
      <sz val="15"/>
    </font>
    <font>
      <name val="宋体"/>
      <charset val="134"/>
      <color rgb="FF000000"/>
      <sz val="16"/>
    </font>
    <font>
      <name val="等线"/>
      <charset val="134"/>
      <color theme="1"/>
      <sz val="11"/>
      <scheme val="minor"/>
    </font>
    <font>
      <name val="等线"/>
      <charset val="134"/>
      <color rgb="FF0000FF"/>
      <sz val="11"/>
      <u val="single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i val="1"/>
      <color rgb="FF7F7F7F"/>
      <sz val="11"/>
    </font>
    <font>
      <name val="DejaVu Sans"/>
      <charset val="134"/>
      <color rgb="FF000000"/>
      <sz val="9"/>
    </font>
  </fonts>
  <fills count="48">
    <fill>
      <patternFill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90EE90"/>
        <bgColor rgb="FF90EE90"/>
      </patternFill>
    </fill>
    <fill>
      <patternFill patternType="solid">
        <fgColor rgb="FFF7CAAC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E0"/>
        <bgColor rgb="FFFFFFE0"/>
      </patternFill>
    </fill>
    <fill>
      <patternFill patternType="solid">
        <fgColor rgb="FFE7E6E6"/>
        <bgColor indexed="64"/>
      </patternFill>
    </fill>
    <fill>
      <patternFill patternType="solid">
        <fgColor rgb="FFCFCFC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  <bgColor rgb="0087CEEB"/>
      </patternFill>
    </fill>
    <fill>
      <patternFill patternType="solid">
        <fgColor rgb="00FFFFE0"/>
        <bgColor rgb="00FFFFE0"/>
      </patternFill>
    </fill>
  </fills>
  <borders count="7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rgb="FF1F2329"/>
      </left>
      <right style="thin">
        <color auto="1"/>
      </right>
      <top style="thin">
        <color auto="1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1F2329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1F2329"/>
      </bottom>
      <diagonal/>
    </border>
    <border>
      <left style="thin">
        <color auto="1"/>
      </left>
      <right/>
      <top/>
      <bottom/>
      <diagonal/>
    </border>
  </borders>
  <cellStyleXfs count="50">
    <xf numFmtId="0" fontId="0" fillId="0" borderId="0"/>
    <xf numFmtId="43" fontId="35" fillId="0" borderId="0" applyAlignment="1">
      <alignment vertical="center"/>
    </xf>
    <xf numFmtId="44" fontId="35" fillId="0" borderId="0" applyAlignment="1">
      <alignment vertical="center"/>
    </xf>
    <xf numFmtId="9" fontId="35" fillId="0" borderId="0" applyAlignment="1">
      <alignment vertical="center"/>
    </xf>
    <xf numFmtId="41" fontId="35" fillId="0" borderId="0" applyAlignment="1">
      <alignment vertical="center"/>
    </xf>
    <xf numFmtId="42" fontId="35" fillId="0" borderId="0" applyAlignment="1">
      <alignment vertical="center"/>
    </xf>
    <xf numFmtId="0" fontId="36" fillId="0" borderId="0"/>
    <xf numFmtId="0" fontId="37" fillId="0" borderId="0" applyAlignment="1">
      <alignment vertical="center"/>
    </xf>
    <xf numFmtId="0" fontId="35" fillId="14" borderId="60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61" applyAlignment="1">
      <alignment vertical="center"/>
    </xf>
    <xf numFmtId="0" fontId="42" fillId="0" borderId="61" applyAlignment="1">
      <alignment vertical="center"/>
    </xf>
    <xf numFmtId="0" fontId="43" fillId="0" borderId="62" applyAlignment="1">
      <alignment vertical="center"/>
    </xf>
    <xf numFmtId="0" fontId="43" fillId="0" borderId="0" applyAlignment="1">
      <alignment vertical="center"/>
    </xf>
    <xf numFmtId="0" fontId="44" fillId="15" borderId="63" applyAlignment="1">
      <alignment vertical="center"/>
    </xf>
    <xf numFmtId="0" fontId="45" fillId="16" borderId="64" applyAlignment="1">
      <alignment vertical="center"/>
    </xf>
    <xf numFmtId="0" fontId="46" fillId="16" borderId="63" applyAlignment="1">
      <alignment vertical="center"/>
    </xf>
    <xf numFmtId="0" fontId="47" fillId="17" borderId="65" applyAlignment="1">
      <alignment vertical="center"/>
    </xf>
    <xf numFmtId="0" fontId="48" fillId="0" borderId="66" applyAlignment="1">
      <alignment vertical="center"/>
    </xf>
    <xf numFmtId="0" fontId="49" fillId="0" borderId="67" applyAlignment="1">
      <alignment vertical="center"/>
    </xf>
    <xf numFmtId="0" fontId="50" fillId="18" borderId="0" applyAlignment="1">
      <alignment vertical="center"/>
    </xf>
    <xf numFmtId="0" fontId="51" fillId="19" borderId="0" applyAlignment="1">
      <alignment vertical="center"/>
    </xf>
    <xf numFmtId="0" fontId="52" fillId="20" borderId="0" applyAlignment="1">
      <alignment vertical="center"/>
    </xf>
    <xf numFmtId="0" fontId="53" fillId="21" borderId="0" applyAlignment="1">
      <alignment vertical="center"/>
    </xf>
    <xf numFmtId="0" fontId="54" fillId="22" borderId="0" applyAlignment="1">
      <alignment vertical="center"/>
    </xf>
    <xf numFmtId="0" fontId="54" fillId="23" borderId="0" applyAlignment="1">
      <alignment vertical="center"/>
    </xf>
    <xf numFmtId="0" fontId="53" fillId="24" borderId="0" applyAlignment="1">
      <alignment vertical="center"/>
    </xf>
    <xf numFmtId="0" fontId="53" fillId="25" borderId="0" applyAlignment="1">
      <alignment vertical="center"/>
    </xf>
    <xf numFmtId="0" fontId="54" fillId="26" borderId="0" applyAlignment="1">
      <alignment vertical="center"/>
    </xf>
    <xf numFmtId="0" fontId="54" fillId="27" borderId="0" applyAlignment="1">
      <alignment vertical="center"/>
    </xf>
    <xf numFmtId="0" fontId="53" fillId="28" borderId="0" applyAlignment="1">
      <alignment vertical="center"/>
    </xf>
    <xf numFmtId="0" fontId="53" fillId="29" borderId="0" applyAlignment="1">
      <alignment vertical="center"/>
    </xf>
    <xf numFmtId="0" fontId="54" fillId="30" borderId="0" applyAlignment="1">
      <alignment vertical="center"/>
    </xf>
    <xf numFmtId="0" fontId="54" fillId="31" borderId="0" applyAlignment="1">
      <alignment vertical="center"/>
    </xf>
    <xf numFmtId="0" fontId="53" fillId="32" borderId="0" applyAlignment="1">
      <alignment vertical="center"/>
    </xf>
    <xf numFmtId="0" fontId="53" fillId="33" borderId="0" applyAlignment="1">
      <alignment vertical="center"/>
    </xf>
    <xf numFmtId="0" fontId="54" fillId="34" borderId="0" applyAlignment="1">
      <alignment vertical="center"/>
    </xf>
    <xf numFmtId="0" fontId="54" fillId="35" borderId="0" applyAlignment="1">
      <alignment vertical="center"/>
    </xf>
    <xf numFmtId="0" fontId="53" fillId="36" borderId="0" applyAlignment="1">
      <alignment vertical="center"/>
    </xf>
    <xf numFmtId="0" fontId="53" fillId="37" borderId="0" applyAlignment="1">
      <alignment vertical="center"/>
    </xf>
    <xf numFmtId="0" fontId="54" fillId="38" borderId="0" applyAlignment="1">
      <alignment vertical="center"/>
    </xf>
    <xf numFmtId="0" fontId="54" fillId="39" borderId="0" applyAlignment="1">
      <alignment vertical="center"/>
    </xf>
    <xf numFmtId="0" fontId="53" fillId="40" borderId="0" applyAlignment="1">
      <alignment vertical="center"/>
    </xf>
    <xf numFmtId="0" fontId="53" fillId="41" borderId="0" applyAlignment="1">
      <alignment vertical="center"/>
    </xf>
    <xf numFmtId="0" fontId="54" fillId="42" borderId="0" applyAlignment="1">
      <alignment vertical="center"/>
    </xf>
    <xf numFmtId="0" fontId="54" fillId="43" borderId="0" applyAlignment="1">
      <alignment vertical="center"/>
    </xf>
    <xf numFmtId="0" fontId="53" fillId="44" borderId="0" applyAlignment="1">
      <alignment vertical="center"/>
    </xf>
    <xf numFmtId="0" fontId="55" fillId="0" borderId="0"/>
  </cellStyleXfs>
  <cellXfs count="36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3" fillId="0" borderId="0" pivotButton="0" quotePrefix="0" xfId="0"/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165" fontId="5" fillId="0" borderId="5" applyAlignment="1" pivotButton="0" quotePrefix="0" xfId="0">
      <alignment horizontal="center" vertical="top" wrapText="1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165" fontId="1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8" fillId="0" borderId="13" applyAlignment="1" pivotButton="0" quotePrefix="0" xfId="0">
      <alignment vertical="center"/>
    </xf>
    <xf numFmtId="0" fontId="8" fillId="0" borderId="14" applyAlignment="1" pivotButton="0" quotePrefix="0" xfId="0">
      <alignment vertical="center"/>
    </xf>
    <xf numFmtId="0" fontId="8" fillId="0" borderId="15" applyAlignment="1" pivotButton="0" quotePrefix="0" xfId="0">
      <alignment vertical="center"/>
    </xf>
    <xf numFmtId="0" fontId="8" fillId="0" borderId="16" applyAlignment="1" pivotButton="0" quotePrefix="0" xfId="0">
      <alignment vertical="center"/>
    </xf>
    <xf numFmtId="0" fontId="8" fillId="0" borderId="17" applyAlignment="1" pivotButton="0" quotePrefix="0" xfId="0">
      <alignment vertical="center"/>
    </xf>
    <xf numFmtId="0" fontId="8" fillId="0" borderId="18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9" fillId="0" borderId="0" pivotButton="0" quotePrefix="0" xfId="0"/>
    <xf numFmtId="0" fontId="10" fillId="3" borderId="19" applyAlignment="1" pivotButton="0" quotePrefix="0" xfId="49">
      <alignment horizontal="center" vertical="center" wrapText="1"/>
    </xf>
    <xf numFmtId="0" fontId="10" fillId="3" borderId="20" applyAlignment="1" pivotButton="0" quotePrefix="0" xfId="49">
      <alignment horizontal="center" vertical="center" wrapText="1"/>
    </xf>
    <xf numFmtId="0" fontId="10" fillId="3" borderId="21" applyAlignment="1" pivotButton="0" quotePrefix="0" xfId="0">
      <alignment horizontal="center" vertical="center" wrapText="1"/>
    </xf>
    <xf numFmtId="0" fontId="10" fillId="3" borderId="22" applyAlignment="1" pivotButton="0" quotePrefix="0" xfId="49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0" fontId="11" fillId="0" borderId="24" applyAlignment="1" pivotButton="0" quotePrefix="0" xfId="0">
      <alignment horizontal="center" vertical="top" wrapText="1"/>
    </xf>
    <xf numFmtId="166" fontId="11" fillId="0" borderId="25" applyAlignment="1" pivotButton="0" quotePrefix="0" xfId="0">
      <alignment vertical="top" wrapText="1"/>
    </xf>
    <xf numFmtId="0" fontId="11" fillId="0" borderId="26" applyAlignment="1" pivotButton="0" quotePrefix="0" xfId="0">
      <alignment vertical="top" wrapText="1"/>
    </xf>
    <xf numFmtId="0" fontId="12" fillId="0" borderId="26" applyAlignment="1" pivotButton="0" quotePrefix="0" xfId="0">
      <alignment vertical="center"/>
    </xf>
    <xf numFmtId="0" fontId="3" fillId="0" borderId="26" applyAlignment="1" pivotButton="0" quotePrefix="0" xfId="0">
      <alignment horizontal="center" vertical="center" wrapText="1"/>
    </xf>
    <xf numFmtId="164" fontId="12" fillId="0" borderId="26" applyAlignment="1" pivotButton="0" quotePrefix="0" xfId="0">
      <alignment horizontal="center" vertical="center" wrapText="1"/>
    </xf>
    <xf numFmtId="165" fontId="12" fillId="0" borderId="8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 wrapText="1"/>
    </xf>
    <xf numFmtId="0" fontId="11" fillId="0" borderId="24" applyAlignment="1" pivotButton="0" quotePrefix="0" xfId="0">
      <alignment vertical="top" wrapText="1"/>
    </xf>
    <xf numFmtId="0" fontId="3" fillId="0" borderId="28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 wrapText="1"/>
    </xf>
    <xf numFmtId="165" fontId="3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49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165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13" fillId="0" borderId="0" pivotButton="0" quotePrefix="0" xfId="0"/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14" fillId="0" borderId="0" pivotButton="0" quotePrefix="0" xfId="0"/>
    <xf numFmtId="164" fontId="13" fillId="0" borderId="0" pivotButton="0" quotePrefix="0" xfId="0"/>
    <xf numFmtId="164" fontId="15" fillId="4" borderId="1" applyAlignment="1" pivotButton="0" quotePrefix="0" xfId="0">
      <alignment horizontal="center" vertical="center"/>
    </xf>
    <xf numFmtId="0" fontId="0" fillId="0" borderId="31" pivotButton="0" quotePrefix="0" xfId="0"/>
    <xf numFmtId="164" fontId="12" fillId="0" borderId="0" applyAlignment="1" pivotButton="0" quotePrefix="0" xfId="0">
      <alignment horizontal="left" vertical="top" wrapText="1"/>
    </xf>
    <xf numFmtId="164" fontId="12" fillId="0" borderId="0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33" pivotButton="0" quotePrefix="0" xfId="0"/>
    <xf numFmtId="164" fontId="16" fillId="4" borderId="4" applyAlignment="1" pivotButton="0" quotePrefix="0" xfId="0">
      <alignment horizontal="center" vertical="center"/>
    </xf>
    <xf numFmtId="167" fontId="16" fillId="4" borderId="6" applyAlignment="1" pivotButton="0" quotePrefix="0" xfId="0">
      <alignment horizontal="center" vertical="center"/>
    </xf>
    <xf numFmtId="168" fontId="16" fillId="4" borderId="6" applyAlignment="1" pivotButton="0" quotePrefix="0" xfId="0">
      <alignment horizontal="center" vertical="center"/>
    </xf>
    <xf numFmtId="164" fontId="16" fillId="4" borderId="9" applyAlignment="1" pivotButton="0" quotePrefix="0" xfId="0">
      <alignment horizontal="center" vertical="center"/>
    </xf>
    <xf numFmtId="168" fontId="16" fillId="4" borderId="11" applyAlignment="1" pivotButton="0" quotePrefix="0" xfId="0">
      <alignment horizontal="center" vertical="center"/>
    </xf>
    <xf numFmtId="164" fontId="16" fillId="0" borderId="19" applyAlignment="1" pivotButton="0" quotePrefix="0" xfId="0">
      <alignment horizontal="center" vertical="center" wrapText="1"/>
    </xf>
    <xf numFmtId="164" fontId="16" fillId="0" borderId="20" applyAlignment="1" pivotButton="0" quotePrefix="0" xfId="0">
      <alignment horizontal="center" vertical="center" wrapText="1"/>
    </xf>
    <xf numFmtId="164" fontId="17" fillId="0" borderId="22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5" pivotButton="0" quotePrefix="0" xfId="0"/>
    <xf numFmtId="164" fontId="16" fillId="0" borderId="5" applyAlignment="1" pivotButton="0" quotePrefix="0" xfId="0">
      <alignment horizontal="center" vertical="center" wrapText="1"/>
    </xf>
    <xf numFmtId="164" fontId="16" fillId="0" borderId="28" applyAlignment="1" pivotButton="0" quotePrefix="0" xfId="0">
      <alignment horizontal="center" vertical="center" wrapText="1"/>
    </xf>
    <xf numFmtId="164" fontId="16" fillId="0" borderId="6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 vertical="center"/>
    </xf>
    <xf numFmtId="165" fontId="12" fillId="0" borderId="7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horizontal="left" vertical="center" wrapText="1"/>
    </xf>
    <xf numFmtId="165" fontId="12" fillId="0" borderId="5" applyAlignment="1" pivotButton="0" quotePrefix="0" xfId="0">
      <alignment vertical="center" wrapText="1"/>
    </xf>
    <xf numFmtId="164" fontId="12" fillId="5" borderId="5" applyAlignment="1" pivotButton="0" quotePrefix="0" xfId="0">
      <alignment horizontal="center" vertical="center" wrapText="1"/>
    </xf>
    <xf numFmtId="164" fontId="12" fillId="0" borderId="25" applyAlignment="1" pivotButton="0" quotePrefix="0" xfId="0">
      <alignment horizontal="left" vertical="top" wrapText="1"/>
    </xf>
    <xf numFmtId="164" fontId="12" fillId="0" borderId="37" applyAlignment="1" pivotButton="0" quotePrefix="0" xfId="0">
      <alignment horizontal="center" vertical="center" wrapText="1"/>
    </xf>
    <xf numFmtId="0" fontId="18" fillId="0" borderId="38" applyAlignment="1" pivotButton="0" quotePrefix="0" xfId="0">
      <alignment horizontal="center" vertical="center"/>
    </xf>
    <xf numFmtId="164" fontId="12" fillId="0" borderId="7" applyAlignment="1" pivotButton="0" quotePrefix="0" xfId="0">
      <alignment horizontal="center" vertical="center" wrapText="1"/>
    </xf>
    <xf numFmtId="165" fontId="12" fillId="0" borderId="6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/>
    </xf>
    <xf numFmtId="164" fontId="12" fillId="0" borderId="40" applyAlignment="1" pivotButton="0" quotePrefix="0" xfId="0">
      <alignment horizontal="center" vertical="center" wrapText="1"/>
    </xf>
    <xf numFmtId="165" fontId="12" fillId="0" borderId="4" applyAlignment="1" pivotButton="0" quotePrefix="0" xfId="0">
      <alignment horizontal="center" vertical="center" wrapText="1"/>
    </xf>
    <xf numFmtId="166" fontId="12" fillId="0" borderId="5" applyAlignment="1" pivotButton="0" quotePrefix="0" xfId="0">
      <alignment horizontal="left" vertical="center" wrapText="1"/>
    </xf>
    <xf numFmtId="164" fontId="12" fillId="0" borderId="5" applyAlignment="1" pivotButton="0" quotePrefix="0" xfId="0">
      <alignment horizontal="center" vertical="center" wrapText="1"/>
    </xf>
    <xf numFmtId="166" fontId="12" fillId="0" borderId="41" applyAlignment="1" pivotButton="0" quotePrefix="0" xfId="0">
      <alignment horizontal="left" vertical="center" wrapText="1"/>
    </xf>
    <xf numFmtId="165" fontId="12" fillId="0" borderId="36" applyAlignment="1" pivotButton="0" quotePrefix="0" xfId="0">
      <alignment horizontal="left" vertical="center" wrapText="1"/>
    </xf>
    <xf numFmtId="165" fontId="12" fillId="0" borderId="42" applyAlignment="1" pivotButton="0" quotePrefix="0" xfId="0">
      <alignment horizontal="left" vertical="center" wrapText="1"/>
    </xf>
    <xf numFmtId="164" fontId="12" fillId="0" borderId="43" applyAlignment="1" pivotButton="0" quotePrefix="0" xfId="0">
      <alignment horizontal="center" vertical="center" wrapText="1"/>
    </xf>
    <xf numFmtId="164" fontId="16" fillId="6" borderId="44" applyAlignment="1" pivotButton="0" quotePrefix="0" xfId="0">
      <alignment horizontal="center" vertical="center" wrapText="1"/>
    </xf>
    <xf numFmtId="164" fontId="16" fillId="6" borderId="45" applyAlignment="1" pivotButton="0" quotePrefix="0" xfId="0">
      <alignment horizontal="center" vertical="center" wrapText="1"/>
    </xf>
    <xf numFmtId="164" fontId="16" fillId="7" borderId="22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30" pivotButton="0" quotePrefix="0" xfId="0"/>
    <xf numFmtId="164" fontId="16" fillId="7" borderId="10" applyAlignment="1" pivotButton="0" quotePrefix="0" xfId="0">
      <alignment horizontal="center" vertical="center" wrapText="1"/>
    </xf>
    <xf numFmtId="164" fontId="16" fillId="7" borderId="11" applyAlignment="1" pivotButton="0" quotePrefix="0" xfId="0">
      <alignment horizontal="center" vertical="center" wrapText="1"/>
    </xf>
    <xf numFmtId="164" fontId="12" fillId="0" borderId="5" applyAlignment="1" pivotButton="0" quotePrefix="0" xfId="0">
      <alignment horizontal="left" vertical="top" wrapText="1"/>
    </xf>
    <xf numFmtId="164" fontId="12" fillId="0" borderId="5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/>
    </xf>
    <xf numFmtId="166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vertical="center" wrapText="1"/>
    </xf>
    <xf numFmtId="0" fontId="19" fillId="0" borderId="26" applyAlignment="1" pivotButton="0" quotePrefix="0" xfId="0">
      <alignment vertical="center"/>
    </xf>
    <xf numFmtId="0" fontId="3" fillId="0" borderId="5" applyAlignment="1" pivotButton="0" quotePrefix="0" xfId="0">
      <alignment horizontal="center" vertical="center"/>
    </xf>
    <xf numFmtId="165" fontId="12" fillId="0" borderId="29" applyAlignment="1" pivotButton="0" quotePrefix="0" xfId="0">
      <alignment horizontal="center" vertical="center" wrapText="1"/>
    </xf>
    <xf numFmtId="166" fontId="12" fillId="0" borderId="26" applyAlignment="1" pivotButton="0" quotePrefix="0" xfId="0">
      <alignment horizontal="center" vertical="center" wrapText="1"/>
    </xf>
    <xf numFmtId="165" fontId="12" fillId="0" borderId="26" applyAlignment="1" pivotButton="0" quotePrefix="0" xfId="0">
      <alignment horizontal="left" vertical="center" wrapText="1"/>
    </xf>
    <xf numFmtId="0" fontId="12" fillId="0" borderId="26" applyAlignment="1" pivotButton="0" quotePrefix="0" xfId="0">
      <alignment vertical="center" wrapText="1"/>
    </xf>
    <xf numFmtId="0" fontId="3" fillId="0" borderId="26" applyAlignment="1" pivotButton="0" quotePrefix="0" xfId="0">
      <alignment horizontal="center" vertical="center"/>
    </xf>
    <xf numFmtId="164" fontId="12" fillId="0" borderId="47" applyAlignment="1" pivotButton="0" quotePrefix="0" xfId="0">
      <alignment horizontal="left" vertical="top" wrapText="1"/>
    </xf>
    <xf numFmtId="166" fontId="12" fillId="0" borderId="35" applyAlignment="1" pivotButton="0" quotePrefix="0" xfId="0">
      <alignment horizontal="center" vertical="center" wrapText="1"/>
    </xf>
    <xf numFmtId="0" fontId="12" fillId="0" borderId="35" applyAlignment="1" pivotButton="0" quotePrefix="0" xfId="0">
      <alignment vertical="center"/>
    </xf>
    <xf numFmtId="0" fontId="3" fillId="0" borderId="35" applyAlignment="1" pivotButton="0" quotePrefix="0" xfId="0">
      <alignment horizontal="center" vertical="center"/>
    </xf>
    <xf numFmtId="164" fontId="12" fillId="0" borderId="35" applyAlignment="1" pivotButton="0" quotePrefix="0" xfId="0">
      <alignment horizontal="center" vertical="center" wrapText="1"/>
    </xf>
    <xf numFmtId="0" fontId="19" fillId="0" borderId="35" applyAlignment="1" pivotButton="0" quotePrefix="0" xfId="0">
      <alignment vertical="center"/>
    </xf>
    <xf numFmtId="165" fontId="12" fillId="0" borderId="23" applyAlignment="1" pivotButton="0" quotePrefix="0" xfId="0">
      <alignment horizontal="center" vertical="center" wrapText="1"/>
    </xf>
    <xf numFmtId="166" fontId="12" fillId="0" borderId="48" applyAlignment="1" pivotButton="0" quotePrefix="0" xfId="0">
      <alignment horizontal="center" vertical="center" wrapText="1"/>
    </xf>
    <xf numFmtId="0" fontId="12" fillId="0" borderId="48" applyAlignment="1" pivotButton="0" quotePrefix="0" xfId="0">
      <alignment vertical="center"/>
    </xf>
    <xf numFmtId="165" fontId="12" fillId="0" borderId="49" applyAlignment="1" pivotButton="0" quotePrefix="0" xfId="0">
      <alignment horizontal="center" vertical="center" wrapText="1"/>
    </xf>
    <xf numFmtId="166" fontId="12" fillId="0" borderId="49" applyAlignment="1" pivotButton="0" quotePrefix="0" xfId="0">
      <alignment horizontal="center" vertical="center" wrapText="1"/>
    </xf>
    <xf numFmtId="0" fontId="12" fillId="0" borderId="49" applyAlignment="1" pivotButton="0" quotePrefix="0" xfId="0">
      <alignment vertical="center" wrapText="1"/>
    </xf>
    <xf numFmtId="165" fontId="12" fillId="0" borderId="50" applyAlignment="1" pivotButton="0" quotePrefix="0" xfId="0">
      <alignment horizontal="left" vertical="center" wrapText="1"/>
    </xf>
    <xf numFmtId="165" fontId="12" fillId="0" borderId="49" applyAlignment="1" pivotButton="0" quotePrefix="0" xfId="0">
      <alignment horizontal="left" vertical="center" wrapText="1"/>
    </xf>
    <xf numFmtId="165" fontId="12" fillId="0" borderId="26" applyAlignment="1" pivotButton="0" quotePrefix="0" xfId="0">
      <alignment horizontal="center" vertical="center" wrapText="1"/>
    </xf>
    <xf numFmtId="0" fontId="12" fillId="0" borderId="51" applyAlignment="1" pivotButton="0" quotePrefix="0" xfId="0">
      <alignment vertical="center" wrapText="1"/>
    </xf>
    <xf numFmtId="0" fontId="19" fillId="0" borderId="25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2" fillId="0" borderId="49" applyAlignment="1" pivotButton="0" quotePrefix="0" xfId="0">
      <alignment vertical="center"/>
    </xf>
    <xf numFmtId="0" fontId="3" fillId="0" borderId="52" applyAlignment="1" pivotButton="0" quotePrefix="0" xfId="0">
      <alignment horizontal="center" vertical="center"/>
    </xf>
    <xf numFmtId="164" fontId="12" fillId="0" borderId="28" applyAlignment="1" pivotButton="0" quotePrefix="0" xfId="0">
      <alignment horizontal="center" vertical="center" wrapText="1"/>
    </xf>
    <xf numFmtId="165" fontId="12" fillId="0" borderId="51" applyAlignment="1" pivotButton="0" quotePrefix="0" xfId="0">
      <alignment horizontal="left" vertical="center" wrapText="1"/>
    </xf>
    <xf numFmtId="165" fontId="12" fillId="0" borderId="53" applyAlignment="1" pivotButton="0" quotePrefix="0" xfId="0">
      <alignment horizontal="center" vertical="center" wrapText="1"/>
    </xf>
    <xf numFmtId="0" fontId="12" fillId="0" borderId="53" applyAlignment="1" pivotButton="0" quotePrefix="0" xfId="0">
      <alignment vertical="center" wrapText="1"/>
    </xf>
    <xf numFmtId="165" fontId="12" fillId="0" borderId="34" applyAlignment="1" pivotButton="0" quotePrefix="0" xfId="0">
      <alignment horizontal="center" vertical="center" wrapText="1"/>
    </xf>
    <xf numFmtId="0" fontId="12" fillId="0" borderId="35" applyAlignment="1" pivotButton="0" quotePrefix="0" xfId="0">
      <alignment vertical="center" wrapText="1"/>
    </xf>
    <xf numFmtId="165" fontId="12" fillId="0" borderId="53" applyAlignment="1" pivotButton="0" quotePrefix="0" xfId="0">
      <alignment horizontal="left" vertical="center" wrapText="1"/>
    </xf>
    <xf numFmtId="165" fontId="12" fillId="0" borderId="25" applyAlignment="1" pivotButton="0" quotePrefix="0" xfId="0">
      <alignment horizontal="center" vertical="center" wrapText="1"/>
    </xf>
    <xf numFmtId="0" fontId="12" fillId="0" borderId="54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top" wrapText="1"/>
    </xf>
    <xf numFmtId="164" fontId="12" fillId="0" borderId="0" applyAlignment="1" pivotButton="0" quotePrefix="0" xfId="0">
      <alignment vertical="top" wrapText="1"/>
    </xf>
    <xf numFmtId="167" fontId="12" fillId="0" borderId="0" applyAlignment="1" pivotButton="0" quotePrefix="0" xfId="0">
      <alignment horizontal="center" vertical="center"/>
    </xf>
    <xf numFmtId="10" fontId="12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0" borderId="26" applyAlignment="1" pivotButton="0" quotePrefix="0" xfId="0">
      <alignment vertical="center" wrapText="1"/>
    </xf>
    <xf numFmtId="0" fontId="12" fillId="0" borderId="26" applyAlignment="1" pivotButton="0" quotePrefix="0" xfId="0">
      <alignment horizontal="left" vertical="center" wrapText="1"/>
    </xf>
    <xf numFmtId="0" fontId="19" fillId="0" borderId="26" applyAlignment="1" pivotButton="0" quotePrefix="0" xfId="0">
      <alignment vertical="top"/>
    </xf>
    <xf numFmtId="0" fontId="19" fillId="0" borderId="26" applyAlignment="1" pivotButton="0" quotePrefix="0" xfId="0">
      <alignment vertical="top" wrapText="1"/>
    </xf>
    <xf numFmtId="0" fontId="12" fillId="5" borderId="5" applyAlignment="1" pivotButton="0" quotePrefix="0" xfId="0">
      <alignment horizontal="center" vertical="center" wrapText="1"/>
    </xf>
    <xf numFmtId="165" fontId="20" fillId="0" borderId="5" applyAlignment="1" pivotButton="0" quotePrefix="0" xfId="0">
      <alignment horizontal="left" vertical="center" wrapText="1"/>
    </xf>
    <xf numFmtId="164" fontId="12" fillId="0" borderId="25" applyAlignment="1" pivotButton="0" quotePrefix="0" xfId="0">
      <alignment horizontal="center" vertical="center" wrapText="1"/>
    </xf>
    <xf numFmtId="164" fontId="12" fillId="0" borderId="26" applyAlignment="1" pivotButton="0" quotePrefix="0" xfId="0">
      <alignment horizontal="left" vertical="center" wrapText="1"/>
    </xf>
    <xf numFmtId="164" fontId="12" fillId="0" borderId="26" applyAlignment="1" pivotButton="0" quotePrefix="0" xfId="0">
      <alignment horizontal="left" vertical="center" wrapText="1"/>
    </xf>
    <xf numFmtId="0" fontId="18" fillId="8" borderId="55" applyAlignment="1" pivotButton="0" quotePrefix="0" xfId="0">
      <alignment horizontal="center" vertical="center"/>
    </xf>
    <xf numFmtId="0" fontId="19" fillId="0" borderId="5" applyAlignment="1" pivotButton="0" quotePrefix="0" xfId="0">
      <alignment vertical="center"/>
    </xf>
    <xf numFmtId="166" fontId="12" fillId="0" borderId="26" applyAlignment="1" pivotButton="0" quotePrefix="0" xfId="0">
      <alignment horizontal="center" vertical="center"/>
    </xf>
    <xf numFmtId="166" fontId="12" fillId="0" borderId="49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164" fontId="12" fillId="0" borderId="29" applyAlignment="1" pivotButton="0" quotePrefix="0" xfId="0">
      <alignment horizontal="left" vertical="top" wrapText="1"/>
    </xf>
    <xf numFmtId="0" fontId="19" fillId="0" borderId="49" applyAlignment="1" pivotButton="0" quotePrefix="0" xfId="0">
      <alignment vertical="center"/>
    </xf>
    <xf numFmtId="165" fontId="12" fillId="0" borderId="56" applyAlignment="1" pivotButton="0" quotePrefix="0" xfId="0">
      <alignment horizontal="center" vertical="center" wrapText="1"/>
    </xf>
    <xf numFmtId="166" fontId="12" fillId="0" borderId="56" applyAlignment="1" pivotButton="0" quotePrefix="0" xfId="0">
      <alignment horizontal="center" vertical="center" wrapText="1"/>
    </xf>
    <xf numFmtId="0" fontId="12" fillId="0" borderId="56" applyAlignment="1" pivotButton="0" quotePrefix="0" xfId="0">
      <alignment vertical="center" wrapText="1"/>
    </xf>
    <xf numFmtId="165" fontId="12" fillId="0" borderId="56" applyAlignment="1" pivotButton="0" quotePrefix="0" xfId="0">
      <alignment horizontal="left" vertical="center" wrapText="1"/>
    </xf>
    <xf numFmtId="0" fontId="3" fillId="0" borderId="56" applyAlignment="1" pivotButton="0" quotePrefix="0" xfId="0">
      <alignment horizontal="center" vertical="center"/>
    </xf>
    <xf numFmtId="164" fontId="12" fillId="0" borderId="56" applyAlignment="1" pivotButton="0" quotePrefix="0" xfId="0">
      <alignment horizontal="center" vertical="center" wrapText="1"/>
    </xf>
    <xf numFmtId="164" fontId="12" fillId="0" borderId="56" applyAlignment="1" pivotButton="0" quotePrefix="0" xfId="0">
      <alignment horizontal="left" vertical="top" wrapText="1"/>
    </xf>
    <xf numFmtId="0" fontId="19" fillId="0" borderId="56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19" fillId="0" borderId="55" applyAlignment="1" pivotButton="0" quotePrefix="0" xfId="0">
      <alignment vertical="center"/>
    </xf>
    <xf numFmtId="165" fontId="12" fillId="0" borderId="55" applyAlignment="1" pivotButton="0" quotePrefix="0" xfId="0">
      <alignment horizontal="center" vertical="center" wrapText="1"/>
    </xf>
    <xf numFmtId="166" fontId="12" fillId="0" borderId="55" applyAlignment="1" pivotButton="0" quotePrefix="0" xfId="0">
      <alignment horizontal="center" vertical="center" wrapText="1"/>
    </xf>
    <xf numFmtId="0" fontId="12" fillId="0" borderId="55" applyAlignment="1" pivotButton="0" quotePrefix="0" xfId="0">
      <alignment vertical="center" wrapText="1"/>
    </xf>
    <xf numFmtId="165" fontId="12" fillId="0" borderId="55" applyAlignment="1" pivotButton="0" quotePrefix="0" xfId="0">
      <alignment horizontal="left" vertical="center" wrapText="1"/>
    </xf>
    <xf numFmtId="164" fontId="4" fillId="9" borderId="1" applyAlignment="1" pivotButton="0" quotePrefix="0" xfId="0">
      <alignment horizontal="center" vertical="center"/>
    </xf>
    <xf numFmtId="164" fontId="21" fillId="10" borderId="4" applyAlignment="1" pivotButton="0" quotePrefix="0" xfId="0">
      <alignment horizontal="center" vertical="center" wrapText="1"/>
    </xf>
    <xf numFmtId="164" fontId="21" fillId="10" borderId="5" applyAlignment="1" pivotButton="0" quotePrefix="0" xfId="0">
      <alignment horizontal="center" vertical="center" wrapText="1"/>
    </xf>
    <xf numFmtId="164" fontId="21" fillId="10" borderId="6" applyAlignment="1" pivotButton="0" quotePrefix="0" xfId="0">
      <alignment horizontal="center" vertical="center" wrapText="1"/>
    </xf>
    <xf numFmtId="164" fontId="22" fillId="9" borderId="4" applyAlignment="1" pivotButton="0" quotePrefix="0" xfId="6">
      <alignment horizontal="center" vertical="center"/>
    </xf>
    <xf numFmtId="167" fontId="3" fillId="0" borderId="5" applyAlignment="1" pivotButton="0" quotePrefix="0" xfId="0">
      <alignment horizontal="center" vertical="center"/>
    </xf>
    <xf numFmtId="168" fontId="3" fillId="0" borderId="5" applyAlignment="1" pivotButton="0" quotePrefix="0" xfId="0">
      <alignment horizontal="center" vertical="center"/>
    </xf>
    <xf numFmtId="168" fontId="3" fillId="0" borderId="6" applyAlignment="1" pivotButton="0" quotePrefix="0" xfId="0">
      <alignment horizontal="center" vertical="center"/>
    </xf>
    <xf numFmtId="0" fontId="23" fillId="11" borderId="57" applyAlignment="1" pivotButton="0" quotePrefix="0" xfId="6">
      <alignment horizontal="center" vertical="center"/>
    </xf>
    <xf numFmtId="0" fontId="24" fillId="11" borderId="57" applyAlignment="1" pivotButton="0" quotePrefix="0" xfId="6">
      <alignment horizontal="center" vertical="center"/>
    </xf>
    <xf numFmtId="164" fontId="23" fillId="9" borderId="4" applyAlignment="1" pivotButton="0" quotePrefix="0" xfId="6">
      <alignment horizontal="center" vertical="center"/>
    </xf>
    <xf numFmtId="164" fontId="24" fillId="9" borderId="4" applyAlignment="1" pivotButton="0" quotePrefix="0" xfId="6">
      <alignment horizontal="center" vertical="center"/>
    </xf>
    <xf numFmtId="168" fontId="3" fillId="0" borderId="28" applyAlignment="1" pivotButton="0" quotePrefix="0" xfId="0">
      <alignment horizontal="center" vertical="center"/>
    </xf>
    <xf numFmtId="164" fontId="21" fillId="12" borderId="9" applyAlignment="1" pivotButton="0" quotePrefix="0" xfId="0">
      <alignment horizontal="center" vertical="center"/>
    </xf>
    <xf numFmtId="167" fontId="21" fillId="10" borderId="10" applyAlignment="1" pivotButton="0" quotePrefix="0" xfId="0">
      <alignment horizontal="center" vertical="center"/>
    </xf>
    <xf numFmtId="168" fontId="21" fillId="10" borderId="5" applyAlignment="1" pivotButton="0" quotePrefix="0" xfId="0">
      <alignment horizontal="center" vertical="center"/>
    </xf>
    <xf numFmtId="168" fontId="21" fillId="10" borderId="7" applyAlignment="1" pivotButton="0" quotePrefix="0" xfId="0">
      <alignment horizontal="center" vertical="center"/>
    </xf>
    <xf numFmtId="168" fontId="21" fillId="10" borderId="6" applyAlignment="1" pivotButton="0" quotePrefix="0" xfId="0">
      <alignment horizontal="center" vertical="center"/>
    </xf>
    <xf numFmtId="164" fontId="13" fillId="13" borderId="19" pivotButton="0" quotePrefix="0" xfId="0"/>
    <xf numFmtId="164" fontId="25" fillId="13" borderId="22" applyAlignment="1" pivotButton="0" quotePrefix="0" xfId="0">
      <alignment horizontal="center"/>
    </xf>
    <xf numFmtId="0" fontId="26" fillId="13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 wrapText="1"/>
    </xf>
    <xf numFmtId="0" fontId="0" fillId="0" borderId="47" pivotButton="0" quotePrefix="0" xfId="0"/>
    <xf numFmtId="0" fontId="0" fillId="0" borderId="8" pivotButton="0" quotePrefix="0" xfId="0"/>
    <xf numFmtId="0" fontId="5" fillId="0" borderId="6" applyAlignment="1" pivotButton="0" quotePrefix="0" xfId="0">
      <alignment horizontal="left" vertical="center" wrapText="1"/>
    </xf>
    <xf numFmtId="0" fontId="26" fillId="13" borderId="9" applyAlignment="1" pivotButton="0" quotePrefix="0" xfId="0">
      <alignment horizontal="center" vertical="center" wrapText="1"/>
    </xf>
    <xf numFmtId="0" fontId="27" fillId="0" borderId="11" applyAlignment="1" pivotButton="0" quotePrefix="0" xfId="0">
      <alignment horizontal="left" vertical="center" wrapText="1"/>
    </xf>
    <xf numFmtId="0" fontId="0" fillId="0" borderId="58" pivotButton="0" quotePrefix="0" xfId="0"/>
    <xf numFmtId="0" fontId="0" fillId="0" borderId="59" pivotButton="0" quotePrefix="0" xfId="0"/>
    <xf numFmtId="164" fontId="28" fillId="7" borderId="1" applyAlignment="1" pivotButton="0" quotePrefix="0" xfId="0">
      <alignment horizontal="center" vertical="center" wrapText="1"/>
    </xf>
    <xf numFmtId="164" fontId="26" fillId="7" borderId="4" applyAlignment="1" pivotButton="0" quotePrefix="0" xfId="0">
      <alignment horizontal="center" vertical="center"/>
    </xf>
    <xf numFmtId="164" fontId="26" fillId="7" borderId="5" applyAlignment="1" pivotButton="0" quotePrefix="0" xfId="0">
      <alignment horizontal="center" vertical="center" wrapText="1"/>
    </xf>
    <xf numFmtId="164" fontId="26" fillId="7" borderId="6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164" fontId="3" fillId="0" borderId="5" applyAlignment="1" pivotButton="0" quotePrefix="0" xfId="0">
      <alignment vertical="center" wrapText="1"/>
    </xf>
    <xf numFmtId="164" fontId="3" fillId="0" borderId="6" applyAlignment="1" pivotButton="0" quotePrefix="0" xfId="0">
      <alignment vertical="center" wrapText="1"/>
    </xf>
    <xf numFmtId="164" fontId="3" fillId="0" borderId="28" applyAlignment="1" pivotButton="0" quotePrefix="0" xfId="0">
      <alignment vertical="center" wrapText="1"/>
    </xf>
    <xf numFmtId="164" fontId="3" fillId="0" borderId="27" applyAlignment="1" pivotButton="0" quotePrefix="0" xfId="0">
      <alignment vertical="center" wrapText="1"/>
    </xf>
    <xf numFmtId="164" fontId="3" fillId="0" borderId="10" applyAlignment="1" pivotButton="0" quotePrefix="0" xfId="0">
      <alignment vertical="center" wrapText="1"/>
    </xf>
    <xf numFmtId="164" fontId="3" fillId="0" borderId="11" applyAlignment="1" pivotButton="0" quotePrefix="0" xfId="0">
      <alignment vertical="center" wrapText="1"/>
    </xf>
    <xf numFmtId="14" fontId="1" fillId="0" borderId="5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4" fontId="28" fillId="7" borderId="1" applyAlignment="1" pivotButton="0" quotePrefix="0" xfId="0">
      <alignment horizontal="center" vertical="center" wrapText="1"/>
    </xf>
    <xf numFmtId="164" fontId="26" fillId="7" borderId="4" applyAlignment="1" pivotButton="0" quotePrefix="0" xfId="0">
      <alignment horizontal="center" vertical="center"/>
    </xf>
    <xf numFmtId="164" fontId="26" fillId="7" borderId="5" applyAlignment="1" pivotButton="0" quotePrefix="0" xfId="0">
      <alignment horizontal="center" vertical="center" wrapText="1"/>
    </xf>
    <xf numFmtId="164" fontId="26" fillId="7" borderId="6" applyAlignment="1" pivotButton="0" quotePrefix="0" xfId="0">
      <alignment horizontal="center" vertical="center" wrapText="1"/>
    </xf>
    <xf numFmtId="164" fontId="3" fillId="0" borderId="5" applyAlignment="1" pivotButton="0" quotePrefix="0" xfId="0">
      <alignment vertical="center" wrapText="1"/>
    </xf>
    <xf numFmtId="164" fontId="3" fillId="0" borderId="6" applyAlignment="1" pivotButton="0" quotePrefix="0" xfId="0">
      <alignment vertical="center" wrapText="1"/>
    </xf>
    <xf numFmtId="164" fontId="3" fillId="0" borderId="28" applyAlignment="1" pivotButton="0" quotePrefix="0" xfId="0">
      <alignment vertical="center" wrapText="1"/>
    </xf>
    <xf numFmtId="164" fontId="3" fillId="0" borderId="27" applyAlignment="1" pivotButton="0" quotePrefix="0" xfId="0">
      <alignment vertical="center" wrapText="1"/>
    </xf>
    <xf numFmtId="164" fontId="3" fillId="0" borderId="10" applyAlignment="1" pivotButton="0" quotePrefix="0" xfId="0">
      <alignment vertical="center" wrapText="1"/>
    </xf>
    <xf numFmtId="164" fontId="3" fillId="0" borderId="11" applyAlignment="1" pivotButton="0" quotePrefix="0" xfId="0">
      <alignment vertical="center" wrapText="1"/>
    </xf>
    <xf numFmtId="164" fontId="3" fillId="0" borderId="0" pivotButton="0" quotePrefix="0" xfId="0"/>
    <xf numFmtId="164" fontId="4" fillId="9" borderId="1" applyAlignment="1" pivotButton="0" quotePrefix="0" xfId="0">
      <alignment horizontal="center" vertical="center"/>
    </xf>
    <xf numFmtId="164" fontId="21" fillId="10" borderId="4" applyAlignment="1" pivotButton="0" quotePrefix="0" xfId="0">
      <alignment horizontal="center" vertical="center" wrapText="1"/>
    </xf>
    <xf numFmtId="164" fontId="21" fillId="10" borderId="5" applyAlignment="1" pivotButton="0" quotePrefix="0" xfId="0">
      <alignment horizontal="center" vertical="center" wrapText="1"/>
    </xf>
    <xf numFmtId="164" fontId="21" fillId="10" borderId="6" applyAlignment="1" pivotButton="0" quotePrefix="0" xfId="0">
      <alignment horizontal="center" vertical="center" wrapText="1"/>
    </xf>
    <xf numFmtId="164" fontId="22" fillId="9" borderId="4" applyAlignment="1" pivotButton="0" quotePrefix="0" xfId="6">
      <alignment horizontal="center" vertical="center"/>
    </xf>
    <xf numFmtId="167" fontId="3" fillId="0" borderId="5" applyAlignment="1" pivotButton="0" quotePrefix="0" xfId="0">
      <alignment horizontal="center" vertical="center"/>
    </xf>
    <xf numFmtId="168" fontId="3" fillId="0" borderId="5" applyAlignment="1" pivotButton="0" quotePrefix="0" xfId="0">
      <alignment horizontal="center" vertical="center"/>
    </xf>
    <xf numFmtId="168" fontId="3" fillId="0" borderId="6" applyAlignment="1" pivotButton="0" quotePrefix="0" xfId="0">
      <alignment horizontal="center" vertical="center"/>
    </xf>
    <xf numFmtId="164" fontId="23" fillId="9" borderId="4" applyAlignment="1" pivotButton="0" quotePrefix="0" xfId="6">
      <alignment horizontal="center" vertical="center"/>
    </xf>
    <xf numFmtId="164" fontId="24" fillId="9" borderId="4" applyAlignment="1" pivotButton="0" quotePrefix="0" xfId="6">
      <alignment horizontal="center" vertical="center"/>
    </xf>
    <xf numFmtId="168" fontId="3" fillId="0" borderId="28" applyAlignment="1" pivotButton="0" quotePrefix="0" xfId="0">
      <alignment horizontal="center" vertical="center"/>
    </xf>
    <xf numFmtId="164" fontId="21" fillId="12" borderId="9" applyAlignment="1" pivotButton="0" quotePrefix="0" xfId="0">
      <alignment horizontal="center" vertical="center"/>
    </xf>
    <xf numFmtId="167" fontId="21" fillId="10" borderId="10" applyAlignment="1" pivotButton="0" quotePrefix="0" xfId="0">
      <alignment horizontal="center" vertical="center"/>
    </xf>
    <xf numFmtId="168" fontId="21" fillId="10" borderId="5" applyAlignment="1" pivotButton="0" quotePrefix="0" xfId="0">
      <alignment horizontal="center" vertical="center"/>
    </xf>
    <xf numFmtId="168" fontId="21" fillId="10" borderId="7" applyAlignment="1" pivotButton="0" quotePrefix="0" xfId="0">
      <alignment horizontal="center" vertical="center"/>
    </xf>
    <xf numFmtId="168" fontId="21" fillId="10" borderId="6" applyAlignment="1" pivotButton="0" quotePrefix="0" xfId="0">
      <alignment horizontal="center" vertical="center"/>
    </xf>
    <xf numFmtId="164" fontId="13" fillId="13" borderId="19" pivotButton="0" quotePrefix="0" xfId="0"/>
    <xf numFmtId="164" fontId="25" fillId="13" borderId="22" applyAlignment="1" pivotButton="0" quotePrefix="0" xfId="0">
      <alignment horizontal="center"/>
    </xf>
    <xf numFmtId="164" fontId="15" fillId="4" borderId="1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left" vertical="top" wrapText="1"/>
    </xf>
    <xf numFmtId="164" fontId="12" fillId="0" borderId="0" applyAlignment="1" pivotButton="0" quotePrefix="0" xfId="0">
      <alignment horizontal="center" vertical="top" wrapText="1"/>
    </xf>
    <xf numFmtId="164" fontId="12" fillId="0" borderId="0" applyAlignment="1" pivotButton="0" quotePrefix="0" xfId="0">
      <alignment vertical="top" wrapText="1"/>
    </xf>
    <xf numFmtId="164" fontId="16" fillId="4" borderId="4" applyAlignment="1" pivotButton="0" quotePrefix="0" xfId="0">
      <alignment horizontal="center" vertical="center"/>
    </xf>
    <xf numFmtId="167" fontId="16" fillId="4" borderId="6" applyAlignment="1" pivotButton="0" quotePrefix="0" xfId="0">
      <alignment horizontal="center" vertical="center"/>
    </xf>
    <xf numFmtId="167" fontId="12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left" vertical="center" wrapText="1"/>
    </xf>
    <xf numFmtId="168" fontId="16" fillId="4" borderId="6" applyAlignment="1" pivotButton="0" quotePrefix="0" xfId="0">
      <alignment horizontal="center" vertical="center"/>
    </xf>
    <xf numFmtId="164" fontId="16" fillId="4" borderId="9" applyAlignment="1" pivotButton="0" quotePrefix="0" xfId="0">
      <alignment horizontal="center" vertical="center"/>
    </xf>
    <xf numFmtId="168" fontId="16" fillId="4" borderId="11" applyAlignment="1" pivotButton="0" quotePrefix="0" xfId="0">
      <alignment horizontal="center" vertical="center"/>
    </xf>
    <xf numFmtId="164" fontId="16" fillId="0" borderId="19" applyAlignment="1" pivotButton="0" quotePrefix="0" xfId="0">
      <alignment horizontal="center" vertical="center" wrapText="1"/>
    </xf>
    <xf numFmtId="164" fontId="16" fillId="0" borderId="20" applyAlignment="1" pivotButton="0" quotePrefix="0" xfId="0">
      <alignment horizontal="center" vertical="center" wrapText="1"/>
    </xf>
    <xf numFmtId="164" fontId="17" fillId="0" borderId="22" applyAlignment="1" pivotButton="0" quotePrefix="0" xfId="0">
      <alignment horizontal="center" vertical="center" wrapText="1"/>
    </xf>
    <xf numFmtId="164" fontId="16" fillId="0" borderId="5" applyAlignment="1" pivotButton="0" quotePrefix="0" xfId="0">
      <alignment horizontal="center" vertical="center" wrapText="1"/>
    </xf>
    <xf numFmtId="164" fontId="16" fillId="0" borderId="28" applyAlignment="1" pivotButton="0" quotePrefix="0" xfId="0">
      <alignment horizontal="center" vertical="center" wrapText="1"/>
    </xf>
    <xf numFmtId="164" fontId="16" fillId="0" borderId="6" applyAlignment="1" pivotButton="0" quotePrefix="0" xfId="0">
      <alignment horizontal="center" vertical="center" wrapText="1"/>
    </xf>
    <xf numFmtId="165" fontId="12" fillId="0" borderId="4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horizontal="center" vertical="center" wrapText="1"/>
    </xf>
    <xf numFmtId="166" fontId="12" fillId="0" borderId="5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horizontal="left" vertical="center" wrapText="1"/>
    </xf>
    <xf numFmtId="164" fontId="12" fillId="0" borderId="5" applyAlignment="1" pivotButton="0" quotePrefix="0" xfId="0">
      <alignment horizontal="center" vertical="center" wrapText="1"/>
    </xf>
    <xf numFmtId="164" fontId="12" fillId="45" borderId="5" applyAlignment="1" pivotButton="0" quotePrefix="0" xfId="0">
      <alignment horizontal="center" vertical="center" wrapText="1"/>
    </xf>
    <xf numFmtId="164" fontId="12" fillId="0" borderId="25" applyAlignment="1" pivotButton="0" quotePrefix="0" xfId="0">
      <alignment horizontal="left" vertical="top" wrapText="1"/>
    </xf>
    <xf numFmtId="164" fontId="12" fillId="0" borderId="7" applyAlignment="1" pivotButton="0" quotePrefix="0" xfId="0">
      <alignment horizontal="center" vertical="center" wrapText="1"/>
    </xf>
    <xf numFmtId="165" fontId="12" fillId="0" borderId="6" applyAlignment="1" pivotButton="0" quotePrefix="0" xfId="0">
      <alignment horizontal="center" vertical="center" wrapText="1"/>
    </xf>
    <xf numFmtId="164" fontId="12" fillId="46" borderId="5" applyAlignment="1" pivotButton="0" quotePrefix="0" xfId="0">
      <alignment horizontal="center" vertical="center" wrapText="1"/>
    </xf>
    <xf numFmtId="0" fontId="12" fillId="46" borderId="5" applyAlignment="1" pivotButton="0" quotePrefix="0" xfId="0">
      <alignment horizontal="center" vertical="center" wrapText="1"/>
    </xf>
    <xf numFmtId="0" fontId="12" fillId="45" borderId="5" applyAlignment="1" pivotButton="0" quotePrefix="0" xfId="0">
      <alignment horizontal="center" vertical="center" wrapText="1"/>
    </xf>
    <xf numFmtId="165" fontId="20" fillId="0" borderId="5" applyAlignment="1" pivotButton="0" quotePrefix="0" xfId="0">
      <alignment horizontal="left" vertical="center" wrapText="1"/>
    </xf>
    <xf numFmtId="164" fontId="12" fillId="0" borderId="25" applyAlignment="1" pivotButton="0" quotePrefix="0" xfId="0">
      <alignment horizontal="center" vertical="center" wrapText="1"/>
    </xf>
    <xf numFmtId="164" fontId="12" fillId="0" borderId="26" applyAlignment="1" pivotButton="0" quotePrefix="0" xfId="0">
      <alignment horizontal="left" vertical="center" wrapText="1"/>
    </xf>
    <xf numFmtId="0" fontId="18" fillId="46" borderId="55" applyAlignment="1" pivotButton="0" quotePrefix="0" xfId="0">
      <alignment horizontal="center" vertical="center"/>
    </xf>
    <xf numFmtId="164" fontId="12" fillId="47" borderId="5" applyAlignment="1" pivotButton="0" quotePrefix="0" xfId="0">
      <alignment horizontal="center" vertical="center" wrapText="1"/>
    </xf>
    <xf numFmtId="165" fontId="12" fillId="0" borderId="29" applyAlignment="1" pivotButton="0" quotePrefix="0" xfId="0">
      <alignment horizontal="center" vertical="center" wrapText="1"/>
    </xf>
    <xf numFmtId="166" fontId="12" fillId="0" borderId="49" applyAlignment="1" pivotButton="0" quotePrefix="0" xfId="0">
      <alignment horizontal="center" vertical="center" wrapText="1"/>
    </xf>
    <xf numFmtId="165" fontId="12" fillId="0" borderId="49" applyAlignment="1" pivotButton="0" quotePrefix="0" xfId="0">
      <alignment horizontal="left" vertical="center" wrapText="1"/>
    </xf>
    <xf numFmtId="164" fontId="12" fillId="0" borderId="28" applyAlignment="1" pivotButton="0" quotePrefix="0" xfId="0">
      <alignment horizontal="center" vertical="center" wrapText="1"/>
    </xf>
    <xf numFmtId="166" fontId="12" fillId="0" borderId="26" applyAlignment="1" pivotButton="0" quotePrefix="0" xfId="0">
      <alignment horizontal="center" vertical="center"/>
    </xf>
    <xf numFmtId="165" fontId="12" fillId="0" borderId="26" applyAlignment="1" pivotButton="0" quotePrefix="0" xfId="0">
      <alignment horizontal="left" vertical="center" wrapText="1"/>
    </xf>
    <xf numFmtId="164" fontId="12" fillId="0" borderId="26" applyAlignment="1" pivotButton="0" quotePrefix="0" xfId="0">
      <alignment horizontal="center" vertical="center" wrapText="1"/>
    </xf>
    <xf numFmtId="164" fontId="12" fillId="0" borderId="47" applyAlignment="1" pivotButton="0" quotePrefix="0" xfId="0">
      <alignment horizontal="left" vertical="top" wrapText="1"/>
    </xf>
    <xf numFmtId="166" fontId="12" fillId="0" borderId="26" applyAlignment="1" pivotButton="0" quotePrefix="0" xfId="0">
      <alignment horizontal="center" vertical="center" wrapText="1"/>
    </xf>
    <xf numFmtId="165" fontId="12" fillId="0" borderId="23" applyAlignment="1" pivotButton="0" quotePrefix="0" xfId="0">
      <alignment horizontal="center" vertical="center" wrapText="1"/>
    </xf>
    <xf numFmtId="166" fontId="12" fillId="0" borderId="49" applyAlignment="1" pivotButton="0" quotePrefix="0" xfId="0">
      <alignment horizontal="center" vertical="center"/>
    </xf>
    <xf numFmtId="164" fontId="12" fillId="0" borderId="29" applyAlignment="1" pivotButton="0" quotePrefix="0" xfId="0">
      <alignment horizontal="left" vertical="top" wrapText="1"/>
    </xf>
    <xf numFmtId="165" fontId="12" fillId="0" borderId="56" applyAlignment="1" pivotButton="0" quotePrefix="0" xfId="0">
      <alignment horizontal="center" vertical="center" wrapText="1"/>
    </xf>
    <xf numFmtId="166" fontId="12" fillId="0" borderId="56" applyAlignment="1" pivotButton="0" quotePrefix="0" xfId="0">
      <alignment horizontal="center" vertical="center" wrapText="1"/>
    </xf>
    <xf numFmtId="165" fontId="12" fillId="0" borderId="56" applyAlignment="1" pivotButton="0" quotePrefix="0" xfId="0">
      <alignment horizontal="left" vertical="center" wrapText="1"/>
    </xf>
    <xf numFmtId="164" fontId="12" fillId="0" borderId="56" applyAlignment="1" pivotButton="0" quotePrefix="0" xfId="0">
      <alignment horizontal="center" vertical="center" wrapText="1"/>
    </xf>
    <xf numFmtId="164" fontId="12" fillId="0" borderId="56" applyAlignment="1" pivotButton="0" quotePrefix="0" xfId="0">
      <alignment horizontal="left" vertical="top" wrapText="1"/>
    </xf>
    <xf numFmtId="165" fontId="12" fillId="0" borderId="55" applyAlignment="1" pivotButton="0" quotePrefix="0" xfId="0">
      <alignment horizontal="center" vertical="center" wrapText="1"/>
    </xf>
    <xf numFmtId="166" fontId="12" fillId="0" borderId="55" applyAlignment="1" pivotButton="0" quotePrefix="0" xfId="0">
      <alignment horizontal="center" vertical="center" wrapText="1"/>
    </xf>
    <xf numFmtId="165" fontId="12" fillId="0" borderId="55" applyAlignment="1" pivotButton="0" quotePrefix="0" xfId="0">
      <alignment horizontal="left" vertical="center" wrapText="1"/>
    </xf>
    <xf numFmtId="166" fontId="12" fillId="0" borderId="35" applyAlignment="1" pivotButton="0" quotePrefix="0" xfId="0">
      <alignment horizontal="center" vertical="center" wrapText="1"/>
    </xf>
    <xf numFmtId="164" fontId="12" fillId="0" borderId="35" applyAlignment="1" pivotButton="0" quotePrefix="0" xfId="0">
      <alignment horizontal="center" vertical="center" wrapText="1"/>
    </xf>
    <xf numFmtId="166" fontId="12" fillId="0" borderId="48" applyAlignment="1" pivotButton="0" quotePrefix="0" xfId="0">
      <alignment horizontal="center" vertical="center" wrapText="1"/>
    </xf>
    <xf numFmtId="165" fontId="12" fillId="0" borderId="49" applyAlignment="1" pivotButton="0" quotePrefix="0" xfId="0">
      <alignment horizontal="center" vertical="center" wrapText="1"/>
    </xf>
    <xf numFmtId="165" fontId="12" fillId="0" borderId="50" applyAlignment="1" pivotButton="0" quotePrefix="0" xfId="0">
      <alignment horizontal="left" vertical="center" wrapText="1"/>
    </xf>
    <xf numFmtId="165" fontId="12" fillId="0" borderId="26" applyAlignment="1" pivotButton="0" quotePrefix="0" xfId="0">
      <alignment horizontal="center" vertical="center" wrapText="1"/>
    </xf>
    <xf numFmtId="165" fontId="12" fillId="0" borderId="51" applyAlignment="1" pivotButton="0" quotePrefix="0" xfId="0">
      <alignment horizontal="left" vertical="center" wrapText="1"/>
    </xf>
    <xf numFmtId="165" fontId="12" fillId="0" borderId="53" applyAlignment="1" pivotButton="0" quotePrefix="0" xfId="0">
      <alignment horizontal="center" vertical="center" wrapText="1"/>
    </xf>
    <xf numFmtId="165" fontId="12" fillId="0" borderId="34" applyAlignment="1" pivotButton="0" quotePrefix="0" xfId="0">
      <alignment horizontal="center" vertical="center" wrapText="1"/>
    </xf>
    <xf numFmtId="165" fontId="12" fillId="0" borderId="53" applyAlignment="1" pivotButton="0" quotePrefix="0" xfId="0">
      <alignment horizontal="left" vertical="center" wrapText="1"/>
    </xf>
    <xf numFmtId="165" fontId="12" fillId="0" borderId="25" applyAlignment="1" pivotButton="0" quotePrefix="0" xfId="0">
      <alignment horizontal="center" vertical="center" wrapText="1"/>
    </xf>
    <xf numFmtId="164" fontId="16" fillId="6" borderId="44" applyAlignment="1" pivotButton="0" quotePrefix="0" xfId="0">
      <alignment horizontal="center" vertical="center" wrapText="1"/>
    </xf>
    <xf numFmtId="164" fontId="16" fillId="6" borderId="45" applyAlignment="1" pivotButton="0" quotePrefix="0" xfId="0">
      <alignment horizontal="center" vertical="center" wrapText="1"/>
    </xf>
    <xf numFmtId="164" fontId="16" fillId="7" borderId="22" applyAlignment="1" pivotButton="0" quotePrefix="0" xfId="0">
      <alignment horizontal="center" vertical="center" wrapText="1"/>
    </xf>
    <xf numFmtId="164" fontId="16" fillId="7" borderId="10" applyAlignment="1" pivotButton="0" quotePrefix="0" xfId="0">
      <alignment horizontal="center" vertical="center" wrapText="1"/>
    </xf>
    <xf numFmtId="164" fontId="16" fillId="7" borderId="11" applyAlignment="1" pivotButton="0" quotePrefix="0" xfId="0">
      <alignment horizontal="center" vertical="center" wrapText="1"/>
    </xf>
    <xf numFmtId="164" fontId="12" fillId="0" borderId="5" applyAlignment="1" pivotButton="0" quotePrefix="0" xfId="0">
      <alignment horizontal="left" vertical="top" wrapText="1"/>
    </xf>
    <xf numFmtId="164" fontId="12" fillId="0" borderId="5" applyAlignment="1" pivotButton="0" quotePrefix="0" xfId="0">
      <alignment horizontal="left" vertical="center" wrapText="1"/>
    </xf>
    <xf numFmtId="165" fontId="12" fillId="0" borderId="7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vertical="center" wrapText="1"/>
    </xf>
    <xf numFmtId="164" fontId="12" fillId="0" borderId="75" applyAlignment="1" pivotButton="0" quotePrefix="0" xfId="0">
      <alignment horizontal="center" vertical="center" wrapText="1"/>
    </xf>
    <xf numFmtId="0" fontId="0" fillId="0" borderId="40" pivotButton="0" quotePrefix="0" xfId="0"/>
    <xf numFmtId="166" fontId="12" fillId="0" borderId="5" applyAlignment="1" pivotButton="0" quotePrefix="0" xfId="0">
      <alignment horizontal="left" vertical="center" wrapText="1"/>
    </xf>
    <xf numFmtId="166" fontId="12" fillId="0" borderId="41" applyAlignment="1" pivotButton="0" quotePrefix="0" xfId="0">
      <alignment horizontal="left" vertical="center" wrapText="1"/>
    </xf>
    <xf numFmtId="165" fontId="12" fillId="0" borderId="36" applyAlignment="1" pivotButton="0" quotePrefix="0" xfId="0">
      <alignment horizontal="left" vertical="center" wrapText="1"/>
    </xf>
    <xf numFmtId="165" fontId="12" fillId="0" borderId="42" applyAlignment="1" pivotButton="0" quotePrefix="0" xfId="0">
      <alignment horizontal="left" vertical="center" wrapText="1"/>
    </xf>
    <xf numFmtId="0" fontId="0" fillId="0" borderId="43" pivotButton="0" quotePrefix="0" xfId="0"/>
    <xf numFmtId="166" fontId="11" fillId="0" borderId="25" applyAlignment="1" pivotButton="0" quotePrefix="0" xfId="0">
      <alignment vertical="top" wrapText="1"/>
    </xf>
    <xf numFmtId="165" fontId="12" fillId="0" borderId="8" applyAlignment="1" pivotButton="0" quotePrefix="0" xfId="0">
      <alignment horizontal="center" vertical="center" wrapText="1"/>
    </xf>
    <xf numFmtId="165" fontId="3" fillId="0" borderId="7" applyAlignment="1" pivotButton="0" quotePrefix="0" xfId="0">
      <alignment horizontal="center" vertical="center" wrapText="1"/>
    </xf>
    <xf numFmtId="165" fontId="3" fillId="0" borderId="10" applyAlignment="1" pivotButton="0" quotePrefix="0" xfId="0">
      <alignment horizontal="center" vertical="center" wrapText="1"/>
    </xf>
    <xf numFmtId="164" fontId="13" fillId="0" borderId="0" pivotButton="0" quotePrefix="0" xfId="0"/>
    <xf numFmtId="165" fontId="5" fillId="0" borderId="5" applyAlignment="1" pivotButton="0" quotePrefix="0" xfId="0">
      <alignment horizontal="center" vertical="top" wrapText="1"/>
    </xf>
    <xf numFmtId="165" fontId="1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8" fillId="0" borderId="55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Excel Built-in Explanatory Text" xfId="49"/>
  </cellStyles>
  <dxfs count="6">
    <dxf>
      <fill>
        <patternFill patternType="solid">
          <bgColor rgb="FFFFCC00"/>
        </patternFill>
      </fill>
    </dxf>
    <dxf>
      <font>
        <name val="Calibri"/>
        <family val="2"/>
        <strike val="1"/>
        <color rgb="FF000000"/>
        <sz val="11"/>
      </font>
      <fill>
        <patternFill patternType="solid">
          <bgColor rgb="FF96969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B1:I27"/>
  <sheetViews>
    <sheetView showGridLines="0" topLeftCell="A2" workbookViewId="0">
      <selection activeCell="E14" sqref="E14"/>
    </sheetView>
  </sheetViews>
  <sheetFormatPr baseColWidth="8" defaultColWidth="13" defaultRowHeight="14.25"/>
  <cols>
    <col width="14" customWidth="1" style="1" min="1" max="1"/>
    <col width="16" customWidth="1" style="1" min="2" max="2"/>
    <col width="11" customWidth="1" style="1" min="3" max="4"/>
    <col width="15" customWidth="1" style="1" min="5" max="5"/>
    <col width="12" customWidth="1" style="1" min="6" max="6"/>
    <col width="16" customWidth="1" style="1" min="7" max="7"/>
    <col width="14" customWidth="1" style="1" min="8" max="8"/>
    <col width="33" customWidth="1" style="1" min="9" max="9"/>
    <col width="11" customWidth="1" style="1" min="10" max="20"/>
  </cols>
  <sheetData>
    <row r="1" ht="24" customHeight="1" s="1">
      <c r="B1" s="230" t="n"/>
      <c r="C1" s="2" t="n"/>
      <c r="D1" s="2" t="n"/>
      <c r="E1" s="2" t="n"/>
      <c r="F1" s="2" t="n"/>
      <c r="G1" s="2" t="n"/>
      <c r="H1" s="2" t="n"/>
      <c r="I1" s="2" t="n"/>
    </row>
    <row r="2" ht="33" customHeight="1" s="1">
      <c r="B2" s="230" t="n"/>
      <c r="C2" s="2" t="n"/>
      <c r="D2" s="2" t="n"/>
      <c r="E2" s="2" t="n"/>
      <c r="F2" s="2" t="n"/>
      <c r="G2" s="2" t="n"/>
      <c r="H2" s="2" t="n"/>
      <c r="I2" s="2" t="n"/>
    </row>
    <row r="3" ht="19" customHeight="1" s="1">
      <c r="C3" s="2" t="n"/>
      <c r="D3" s="2" t="n"/>
      <c r="E3" s="2" t="n"/>
      <c r="F3" s="2" t="n"/>
      <c r="G3" s="2" t="n"/>
      <c r="H3" s="2" t="n"/>
      <c r="I3" s="2" t="n"/>
    </row>
    <row r="4" ht="19" customHeight="1" s="1">
      <c r="B4" s="231" t="n"/>
      <c r="C4" s="2" t="n"/>
      <c r="E4" s="232" t="inlineStr">
        <is>
          <t>文件编号：</t>
        </is>
      </c>
      <c r="F4" s="2" t="n"/>
      <c r="G4" s="2" t="n"/>
      <c r="H4" s="2" t="n"/>
      <c r="I4" s="2" t="n"/>
    </row>
    <row r="5" ht="19" customHeight="1" s="1">
      <c r="B5" s="231" t="n"/>
      <c r="C5" s="2" t="n"/>
      <c r="D5" s="2" t="n"/>
      <c r="E5" s="2" t="n"/>
      <c r="F5" s="2" t="n"/>
      <c r="G5" s="2" t="n"/>
      <c r="H5" s="2" t="n"/>
      <c r="I5" s="2" t="n"/>
    </row>
    <row r="6" ht="19" customHeight="1" s="1">
      <c r="B6" s="231" t="n"/>
      <c r="C6" s="2" t="n"/>
      <c r="D6" s="2" t="n"/>
      <c r="E6" s="2" t="n"/>
      <c r="F6" s="2" t="n"/>
      <c r="G6" s="2" t="n"/>
      <c r="H6" s="2" t="n"/>
      <c r="I6" s="2" t="n"/>
    </row>
    <row r="7" ht="19" customHeight="1" s="1">
      <c r="B7" s="231" t="n"/>
      <c r="C7" s="2" t="n"/>
      <c r="D7" s="2" t="n"/>
      <c r="E7" s="2" t="n"/>
      <c r="F7" s="2" t="n"/>
      <c r="G7" s="2" t="n"/>
      <c r="H7" s="2" t="n"/>
      <c r="I7" s="2" t="n"/>
    </row>
    <row r="8" ht="19" customHeight="1" s="1">
      <c r="B8" s="231" t="n"/>
      <c r="C8" s="2" t="n"/>
      <c r="D8" s="2" t="n"/>
      <c r="E8" s="2" t="n"/>
      <c r="F8" s="2" t="n"/>
      <c r="G8" s="2" t="n"/>
      <c r="H8" s="2" t="n"/>
      <c r="I8" s="2" t="n"/>
    </row>
    <row r="9" ht="19" customHeight="1" s="1">
      <c r="B9" s="231" t="n"/>
      <c r="C9" s="2" t="n"/>
      <c r="D9" s="2" t="n"/>
      <c r="E9" s="2" t="n"/>
      <c r="F9" s="2" t="n"/>
      <c r="G9" s="2" t="n"/>
      <c r="H9" s="2" t="n"/>
      <c r="I9" s="2" t="n"/>
    </row>
    <row r="10" ht="19" customHeight="1" s="1">
      <c r="B10" s="231" t="n"/>
      <c r="C10" s="2" t="n"/>
      <c r="D10" s="2" t="n"/>
      <c r="E10" s="2" t="n"/>
      <c r="G10" s="2" t="n"/>
      <c r="H10" s="2" t="n"/>
      <c r="I10" s="2" t="n"/>
    </row>
    <row r="11" ht="58" customHeight="1" s="1">
      <c r="B11" s="233" t="n"/>
      <c r="C11" s="233" t="n"/>
      <c r="D11" s="233" t="n"/>
      <c r="E11" s="234" t="inlineStr">
        <is>
          <t>软件测试报告</t>
        </is>
      </c>
      <c r="F11" s="233" t="n"/>
      <c r="G11" s="233" t="n"/>
      <c r="H11" s="233" t="n"/>
      <c r="I11" s="2" t="n"/>
    </row>
    <row r="12" ht="19" customHeight="1" s="1">
      <c r="B12" s="231" t="n"/>
      <c r="C12" s="2" t="n"/>
      <c r="D12" s="2" t="n"/>
      <c r="E12" s="2" t="n"/>
      <c r="F12" s="2" t="n"/>
      <c r="G12" s="2" t="n"/>
      <c r="H12" s="2" t="n"/>
      <c r="I12" s="2" t="n"/>
    </row>
    <row r="13" ht="21" customHeight="1" s="1">
      <c r="B13" s="235" t="n"/>
      <c r="C13" s="2" t="n"/>
      <c r="D13" s="2" t="n"/>
      <c r="E13" s="2" t="n"/>
      <c r="F13" s="2" t="n"/>
      <c r="I13" s="2" t="n"/>
    </row>
    <row r="14" ht="21" customHeight="1" s="1">
      <c r="C14" s="2" t="n"/>
      <c r="D14" s="2" t="n"/>
      <c r="E14" s="232" t="inlineStr">
        <is>
          <t xml:space="preserve">版本: </t>
        </is>
      </c>
      <c r="F14" s="2" t="n"/>
      <c r="I14" s="2" t="n"/>
    </row>
    <row r="15" ht="21" customHeight="1" s="1">
      <c r="C15" s="2" t="n"/>
      <c r="D15" s="2" t="n"/>
      <c r="E15" s="2" t="n"/>
      <c r="F15" s="2" t="n"/>
      <c r="H15" s="2" t="n"/>
      <c r="I15" s="2" t="n"/>
    </row>
    <row r="16" ht="21" customHeight="1" s="1">
      <c r="B16" s="231" t="n"/>
      <c r="C16" s="2" t="n"/>
      <c r="D16" s="2" t="n"/>
      <c r="E16" s="2" t="n"/>
      <c r="F16" s="236" t="n"/>
      <c r="H16" s="2" t="n"/>
      <c r="I16" s="2" t="n"/>
    </row>
    <row r="17" ht="21" customHeight="1" s="1">
      <c r="B17" s="231" t="n"/>
      <c r="C17" s="2" t="n"/>
      <c r="D17" s="2" t="n"/>
      <c r="E17" s="2" t="n"/>
      <c r="H17" s="2" t="n"/>
      <c r="I17" s="2" t="n"/>
    </row>
    <row r="18" ht="23" customHeight="1" s="1">
      <c r="C18" s="2" t="n"/>
      <c r="D18" s="2" t="n"/>
      <c r="E18" s="2" t="n"/>
      <c r="H18" s="2" t="n"/>
      <c r="I18" s="2" t="n"/>
    </row>
    <row r="19" ht="23" customHeight="1" s="1">
      <c r="C19" s="2" t="n"/>
      <c r="D19" s="2" t="n"/>
      <c r="E19" s="2" t="n"/>
      <c r="G19" s="232" t="n"/>
      <c r="H19" s="2" t="n"/>
      <c r="I19" s="2" t="n"/>
    </row>
    <row r="20" ht="23" customHeight="1" s="1">
      <c r="B20" s="231" t="n"/>
      <c r="C20" s="2" t="n"/>
      <c r="D20" s="2" t="n"/>
      <c r="E20" s="2" t="n"/>
      <c r="F20" s="232" t="n"/>
      <c r="G20" s="240" t="n"/>
      <c r="H20" s="2" t="n"/>
      <c r="I20" s="2" t="n"/>
    </row>
    <row r="21" ht="23" customHeight="1" s="1">
      <c r="C21" s="2" t="n"/>
      <c r="D21" s="2" t="n"/>
      <c r="E21" s="232" t="n"/>
      <c r="F21" s="232" t="n"/>
      <c r="G21" s="232" t="n"/>
      <c r="H21" s="2" t="n"/>
      <c r="I21" s="2" t="n"/>
    </row>
    <row r="22" ht="23" customHeight="1" s="1">
      <c r="C22" s="2" t="n"/>
      <c r="D22" s="2" t="n"/>
      <c r="E22" s="2" t="n"/>
      <c r="F22" s="232" t="n"/>
      <c r="G22" s="232" t="n"/>
      <c r="H22" s="2" t="n"/>
      <c r="I22" s="2" t="n"/>
    </row>
    <row r="23" ht="23" customHeight="1" s="1">
      <c r="B23" s="231" t="n"/>
      <c r="C23" s="2" t="n"/>
      <c r="D23" s="2" t="n"/>
      <c r="E23" s="2" t="n"/>
      <c r="F23" s="232" t="n"/>
      <c r="G23" s="232" t="n"/>
      <c r="H23" s="2" t="n"/>
      <c r="I23" s="2" t="n"/>
    </row>
    <row r="24" ht="19" customHeight="1" s="1">
      <c r="B24" s="231" t="n"/>
      <c r="C24" s="2" t="n"/>
      <c r="D24" s="2" t="n"/>
      <c r="E24" s="2" t="n"/>
      <c r="F24" s="2" t="n"/>
      <c r="G24" s="2" t="n"/>
      <c r="H24" s="2" t="n"/>
      <c r="I24" s="2" t="n"/>
    </row>
    <row r="25" ht="19" customHeight="1" s="1">
      <c r="B25" s="231" t="n"/>
      <c r="C25" s="2" t="n"/>
      <c r="D25" s="2" t="n"/>
      <c r="E25" s="2" t="n"/>
      <c r="F25" s="2" t="n"/>
      <c r="G25" s="2" t="n"/>
      <c r="H25" s="2" t="n"/>
      <c r="I25" s="2" t="n"/>
    </row>
    <row r="26" ht="21" customHeight="1" s="1">
      <c r="B26" s="231" t="n"/>
      <c r="C26" s="2" t="n"/>
      <c r="D26" s="2" t="n"/>
      <c r="E26" s="2" t="n"/>
      <c r="F26" s="2" t="n"/>
      <c r="G26" s="2" t="n"/>
      <c r="H26" s="2" t="n"/>
      <c r="I26" s="2" t="n"/>
    </row>
    <row r="27" ht="21" customHeight="1" s="1">
      <c r="C27" s="238" t="n"/>
      <c r="E27" s="239" t="inlineStr">
        <is>
          <t>中科创达软件股份有限公司</t>
        </is>
      </c>
      <c r="F27" s="2" t="n"/>
      <c r="G27" s="2" t="n"/>
      <c r="H27" s="2" t="n"/>
      <c r="I27" s="2" t="n"/>
    </row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T8"/>
  <sheetViews>
    <sheetView showGridLines="0" workbookViewId="0">
      <selection activeCell="C8" sqref="C8"/>
    </sheetView>
  </sheetViews>
  <sheetFormatPr baseColWidth="8" defaultColWidth="13" defaultRowHeight="14.25"/>
  <cols>
    <col width="3" customWidth="1" style="1" min="1" max="1"/>
    <col width="13" customWidth="1" style="1" min="2" max="2"/>
    <col width="54" customWidth="1" style="1" min="3" max="3"/>
    <col width="26" customWidth="1" style="1" min="4" max="4"/>
    <col width="13" customWidth="1" style="1" min="5" max="5"/>
    <col width="37" customWidth="1" style="1" min="6" max="6"/>
    <col width="16" customWidth="1" style="1" min="7" max="7"/>
    <col width="11" customWidth="1" style="1" min="8" max="20"/>
  </cols>
  <sheetData>
    <row r="1" ht="17" customHeight="1" s="1"/>
    <row r="2" ht="31" customHeight="1" s="1">
      <c r="A2" s="2" t="n"/>
      <c r="B2" s="3" t="inlineStr">
        <is>
          <t>文件修改控制</t>
        </is>
      </c>
      <c r="C2" s="4" t="n"/>
      <c r="D2" s="4" t="n"/>
      <c r="E2" s="4" t="n"/>
      <c r="F2" s="4" t="n"/>
      <c r="G2" s="5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17" customHeight="1" s="1">
      <c r="B3" s="7" t="inlineStr">
        <is>
          <t>版本</t>
        </is>
      </c>
      <c r="C3" s="8" t="inlineStr">
        <is>
          <t>修改条款及内容</t>
        </is>
      </c>
      <c r="D3" s="8" t="inlineStr">
        <is>
          <t>修改日期</t>
        </is>
      </c>
      <c r="E3" s="9" t="inlineStr">
        <is>
          <t>修改者</t>
        </is>
      </c>
      <c r="F3" s="9" t="inlineStr">
        <is>
          <t>评审人</t>
        </is>
      </c>
      <c r="G3" s="10" t="inlineStr">
        <is>
          <t>批准人</t>
        </is>
      </c>
    </row>
    <row r="4" ht="17" customHeight="1" s="1">
      <c r="B4" s="11" t="n"/>
      <c r="C4" s="12" t="n"/>
      <c r="D4" s="228" t="n"/>
      <c r="E4" s="17" t="n"/>
      <c r="F4" s="229" t="n"/>
      <c r="G4" s="18" t="n"/>
    </row>
    <row r="5" ht="17" customHeight="1" s="1">
      <c r="A5" s="32" t="n"/>
      <c r="B5" s="11" t="n"/>
      <c r="C5" s="12" t="n"/>
      <c r="D5" s="228" t="n"/>
      <c r="E5" s="17" t="n"/>
      <c r="F5" s="229" t="n"/>
      <c r="G5" s="18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</row>
    <row r="6" ht="17" customHeight="1" s="1">
      <c r="A6" s="32" t="n"/>
      <c r="B6" s="11" t="n"/>
      <c r="C6" s="12" t="n"/>
      <c r="D6" s="228" t="n"/>
      <c r="E6" s="17" t="n"/>
      <c r="F6" s="229" t="n"/>
      <c r="G6" s="18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</row>
    <row r="7" ht="17" customHeight="1" s="1">
      <c r="A7" s="32" t="n"/>
      <c r="B7" s="11" t="n"/>
      <c r="C7" s="12" t="n"/>
      <c r="D7" s="228" t="n"/>
      <c r="E7" s="17" t="n"/>
      <c r="F7" s="229" t="n"/>
      <c r="G7" s="18" t="n"/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</row>
    <row r="8" ht="17" customHeight="1" s="1">
      <c r="B8" s="11" t="n"/>
      <c r="C8" s="12" t="n"/>
      <c r="D8" s="228" t="n"/>
      <c r="E8" s="17" t="n"/>
      <c r="F8" s="229" t="n"/>
      <c r="G8" s="18" t="n"/>
    </row>
    <row r="9" ht="17" customHeight="1" s="1"/>
    <row r="10" ht="17" customHeight="1" s="1"/>
    <row r="11" ht="17" customHeight="1" s="1"/>
    <row r="12" ht="17" customHeight="1" s="1"/>
    <row r="13" ht="17" customHeight="1" s="1"/>
    <row r="14" ht="17" customHeight="1" s="1"/>
    <row r="15" ht="17" customHeight="1" s="1"/>
    <row r="16" ht="17" customHeight="1" s="1"/>
    <row r="17" ht="17" customHeight="1" s="1"/>
    <row r="18" ht="17" customHeight="1" s="1"/>
    <row r="19" ht="17" customHeight="1" s="1"/>
    <row r="20" ht="17" customHeight="1" s="1"/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  <row r="201" ht="17" customHeight="1" s="1"/>
    <row r="202" ht="17" customHeight="1" s="1"/>
  </sheetData>
  <mergeCells count="1"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B2:E7"/>
  <sheetViews>
    <sheetView workbookViewId="0">
      <selection activeCell="A1" sqref="A1"/>
    </sheetView>
  </sheetViews>
  <sheetFormatPr baseColWidth="8" defaultColWidth="13" defaultRowHeight="14.25"/>
  <cols>
    <col width="3" customWidth="1" style="1" min="1" max="1"/>
    <col width="6" customWidth="1" style="1" min="2" max="2"/>
    <col width="43" customWidth="1" style="1" min="3" max="3"/>
    <col width="14" customWidth="1" style="1" min="4" max="4"/>
    <col width="55" customWidth="1" style="1" min="5" max="5"/>
    <col width="8" customWidth="1" style="1" min="6" max="6"/>
    <col width="10" customWidth="1" style="1" min="7" max="20"/>
  </cols>
  <sheetData>
    <row r="1" ht="17" customHeight="1" s="1"/>
    <row r="2" ht="22" customHeight="1" s="1">
      <c r="B2" s="241" t="inlineStr">
        <is>
          <t>参考资料</t>
        </is>
      </c>
      <c r="C2" s="4" t="n"/>
      <c r="D2" s="4" t="n"/>
      <c r="E2" s="5" t="n"/>
    </row>
    <row r="3" ht="15" customHeight="1" s="1">
      <c r="B3" s="242" t="inlineStr">
        <is>
          <t>No</t>
        </is>
      </c>
      <c r="C3" s="243" t="inlineStr">
        <is>
          <t>参考资料</t>
        </is>
      </c>
      <c r="D3" s="243" t="inlineStr">
        <is>
          <t>版本</t>
        </is>
      </c>
      <c r="E3" s="244" t="inlineStr">
        <is>
          <t>概要</t>
        </is>
      </c>
    </row>
    <row r="4" ht="28" customHeight="1" s="1">
      <c r="B4" s="221" t="n"/>
      <c r="C4" s="245" t="n"/>
      <c r="D4" s="245" t="n"/>
      <c r="E4" s="246" t="n"/>
    </row>
    <row r="5" ht="28" customHeight="1" s="1">
      <c r="B5" s="221" t="n"/>
      <c r="C5" s="245" t="n"/>
      <c r="D5" s="245" t="n"/>
      <c r="E5" s="246" t="n"/>
    </row>
    <row r="6" ht="28" customHeight="1" s="1">
      <c r="B6" s="221" t="n"/>
      <c r="C6" s="247" t="n"/>
      <c r="D6" s="247" t="n"/>
      <c r="E6" s="248" t="n"/>
    </row>
    <row r="7" ht="28" customHeight="1" s="1">
      <c r="B7" s="221" t="n"/>
      <c r="C7" s="249" t="n"/>
      <c r="D7" s="249" t="n"/>
      <c r="E7" s="250" t="n"/>
    </row>
    <row r="8" ht="15" customHeight="1" s="1"/>
    <row r="9" ht="15" customHeight="1" s="1"/>
    <row r="10" ht="15" customHeight="1" s="1"/>
    <row r="11" ht="15" customHeight="1" s="1"/>
    <row r="12" ht="15" customHeight="1" s="1"/>
    <row r="13" ht="15" customHeight="1" s="1"/>
    <row r="14" ht="15" customHeight="1" s="1"/>
    <row r="15" ht="15" customHeight="1" s="1"/>
    <row r="16" ht="15" customHeight="1" s="1"/>
    <row r="17" ht="17" customHeight="1" s="1"/>
    <row r="18" ht="17" customHeight="1" s="1"/>
    <row r="19" ht="17" customHeight="1" s="1"/>
    <row r="20" ht="17" customHeight="1" s="1"/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</sheetData>
  <mergeCells count="1"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T14"/>
  <sheetViews>
    <sheetView showGridLines="0" workbookViewId="0">
      <selection activeCell="I12" sqref="I12"/>
    </sheetView>
  </sheetViews>
  <sheetFormatPr baseColWidth="8" defaultColWidth="13" defaultRowHeight="14.25"/>
  <cols>
    <col width="2" customWidth="1" style="1" min="1" max="1"/>
    <col width="21" customWidth="1" style="1" min="2" max="2"/>
    <col width="12" customWidth="1" style="1" min="3" max="3"/>
    <col width="21" customWidth="1" style="1" min="4" max="4"/>
    <col width="10" customWidth="1" style="1" min="5" max="9"/>
    <col width="15" customWidth="1" style="1" min="10" max="10"/>
    <col width="13" customWidth="1" style="1" min="11" max="11"/>
    <col width="14" customWidth="1" style="1" min="12" max="12"/>
    <col width="9" customWidth="1" style="1" min="13" max="13"/>
    <col width="10" customWidth="1" style="1" min="14" max="20"/>
  </cols>
  <sheetData>
    <row r="1" ht="16" customHeight="1" s="1">
      <c r="A1" s="251" t="n"/>
      <c r="B1" s="251" t="n"/>
      <c r="C1" s="251" t="n"/>
      <c r="D1" s="251" t="n"/>
      <c r="E1" s="251" t="n"/>
      <c r="F1" s="251" t="n"/>
      <c r="G1" s="251" t="n"/>
      <c r="H1" s="251" t="n"/>
      <c r="I1" s="251" t="n"/>
      <c r="J1" s="251" t="n"/>
      <c r="K1" s="251" t="n"/>
      <c r="L1" s="251" t="n"/>
      <c r="M1" s="251" t="n"/>
      <c r="N1" s="251" t="n"/>
      <c r="O1" s="251" t="n"/>
      <c r="P1" s="251" t="n"/>
      <c r="Q1" s="251" t="n"/>
      <c r="R1" s="251" t="n"/>
      <c r="S1" s="251" t="n"/>
      <c r="T1" s="251" t="n"/>
    </row>
    <row r="2" ht="20" customHeight="1" s="1">
      <c r="B2" s="252" t="inlineStr">
        <is>
          <t>测试结果汇总(Round1)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5" t="n"/>
    </row>
    <row r="3" ht="20" customHeight="1" s="1">
      <c r="B3" s="253" t="inlineStr">
        <is>
          <t>测试分类</t>
        </is>
      </c>
      <c r="C3" s="254" t="inlineStr">
        <is>
          <t>总数</t>
        </is>
      </c>
      <c r="D3" s="254" t="inlineStr">
        <is>
          <t>执行数量（除NA/NT）</t>
        </is>
      </c>
      <c r="E3" s="254" t="inlineStr">
        <is>
          <t>Pass</t>
        </is>
      </c>
      <c r="F3" s="254" t="inlineStr">
        <is>
          <t>Fail</t>
        </is>
      </c>
      <c r="G3" s="254" t="inlineStr">
        <is>
          <t>NT</t>
        </is>
      </c>
      <c r="H3" s="254" t="inlineStr">
        <is>
          <t>Block</t>
        </is>
      </c>
      <c r="I3" s="254" t="inlineStr">
        <is>
          <t>NA</t>
        </is>
      </c>
      <c r="J3" s="254" t="inlineStr">
        <is>
          <t>执行率</t>
        </is>
      </c>
      <c r="K3" s="254" t="inlineStr">
        <is>
          <t>Pass率</t>
        </is>
      </c>
      <c r="L3" s="254" t="inlineStr">
        <is>
          <t>Fail率</t>
        </is>
      </c>
      <c r="M3" s="255" t="inlineStr">
        <is>
          <t>Block率</t>
        </is>
      </c>
    </row>
    <row r="4" ht="20" customHeight="1" s="1">
      <c r="B4" s="256" t="inlineStr">
        <is>
          <t>功能测试</t>
        </is>
      </c>
      <c r="C4" s="257">
        <f>功能测试!C4</f>
        <v/>
      </c>
      <c r="D4" s="257">
        <f>功能测试!$C$5+功能测试!$C$6+功能测试!$C$8</f>
        <v/>
      </c>
      <c r="E4" s="257">
        <f>功能测试!$C$5</f>
        <v/>
      </c>
      <c r="F4" s="257">
        <f>功能测试!$C$6</f>
        <v/>
      </c>
      <c r="G4" s="257">
        <f>功能测试!$C$7</f>
        <v/>
      </c>
      <c r="H4" s="257">
        <f>功能测试!$C$8</f>
        <v/>
      </c>
      <c r="I4" s="257">
        <f>功能测试!$C$9</f>
        <v/>
      </c>
      <c r="J4" s="258">
        <f>IFERROR(D4/C4,"")</f>
        <v/>
      </c>
      <c r="K4" s="258">
        <f>IFERROR(E4/D4,"")</f>
        <v/>
      </c>
      <c r="L4" s="258">
        <f>IFERROR(F4/D4,"")</f>
        <v/>
      </c>
      <c r="M4" s="259">
        <f>IFERROR(H4/D4,"")</f>
        <v/>
      </c>
    </row>
    <row r="5" ht="20" customHeight="1" s="1">
      <c r="B5" s="196" t="inlineStr">
        <is>
          <t>故障测试</t>
        </is>
      </c>
      <c r="C5" s="257">
        <f>故障测试!B3</f>
        <v/>
      </c>
      <c r="D5" s="257">
        <f>故障测试!B4+故障测试!B5</f>
        <v/>
      </c>
      <c r="E5" s="257">
        <f>故障测试!B4</f>
        <v/>
      </c>
      <c r="F5" s="257">
        <f>故障测试!B5</f>
        <v/>
      </c>
      <c r="G5" s="257">
        <f>故障测试!B6</f>
        <v/>
      </c>
      <c r="H5" s="257">
        <f>故障测试!B7</f>
        <v/>
      </c>
      <c r="I5" s="257">
        <f>故障测试!B8</f>
        <v/>
      </c>
      <c r="J5" s="258">
        <f>IFERROR(D5/C5,"")</f>
        <v/>
      </c>
      <c r="K5" s="258">
        <f>IFERROR(E5/D5,"")</f>
        <v/>
      </c>
      <c r="L5" s="258">
        <f>IFERROR(F5/D5,"")</f>
        <v/>
      </c>
      <c r="M5" s="259">
        <f>IFERROR(H5/D5,"")</f>
        <v/>
      </c>
    </row>
    <row r="6" ht="20" customHeight="1" s="1">
      <c r="B6" s="197" t="inlineStr">
        <is>
          <t>异常场景测试</t>
        </is>
      </c>
      <c r="C6" s="257">
        <f>异常场景测试!B3</f>
        <v/>
      </c>
      <c r="D6" s="257">
        <f>异常场景测试!B4+异常场景测试!B5</f>
        <v/>
      </c>
      <c r="E6" s="257">
        <f>异常场景测试!B4</f>
        <v/>
      </c>
      <c r="F6" s="257">
        <f>异常场景测试!B6</f>
        <v/>
      </c>
      <c r="G6" s="257">
        <f>异常场景测试!B7</f>
        <v/>
      </c>
      <c r="H6" s="257">
        <f>异常场景测试!B8</f>
        <v/>
      </c>
      <c r="I6" s="257">
        <f>异常场景测试!B9</f>
        <v/>
      </c>
      <c r="J6" s="258">
        <f>IFERROR(D6/C6,"")</f>
        <v/>
      </c>
      <c r="K6" s="258">
        <f>IFERROR(E6/D6,"")</f>
        <v/>
      </c>
      <c r="L6" s="258">
        <f>IFERROR(F6/D6,"")</f>
        <v/>
      </c>
      <c r="M6" s="259">
        <f>IFERROR(H6/D6,"")</f>
        <v/>
      </c>
    </row>
    <row r="7" ht="20" customHeight="1" s="1">
      <c r="B7" s="260" t="inlineStr">
        <is>
          <t>压力测试</t>
        </is>
      </c>
      <c r="C7" s="257">
        <f>压力测试!C4</f>
        <v/>
      </c>
      <c r="D7" s="257">
        <f>压力测试!$C$5+压力测试!$C$6+压力测试!$C$8</f>
        <v/>
      </c>
      <c r="E7" s="257">
        <f>压力测试!$C$5</f>
        <v/>
      </c>
      <c r="F7" s="257">
        <f>压力测试!$C$6</f>
        <v/>
      </c>
      <c r="G7" s="257">
        <f>压力测试!$C$7</f>
        <v/>
      </c>
      <c r="H7" s="257">
        <f>压力测试!$C$8</f>
        <v/>
      </c>
      <c r="I7" s="257">
        <f>压力测试!$C$9</f>
        <v/>
      </c>
      <c r="J7" s="258">
        <f>IFERROR(D7/C7,"")</f>
        <v/>
      </c>
      <c r="K7" s="258">
        <f>IFERROR(E7/D7,"")</f>
        <v/>
      </c>
      <c r="L7" s="258">
        <f>IFERROR(F7/D7,"")</f>
        <v/>
      </c>
      <c r="M7" s="259">
        <f>IFERROR(H7/D7,"")</f>
        <v/>
      </c>
    </row>
    <row r="8" ht="20" customHeight="1" s="1">
      <c r="B8" s="261" t="inlineStr">
        <is>
          <t>稳定性测试</t>
        </is>
      </c>
      <c r="C8" s="257">
        <f>稳定性测试!C4</f>
        <v/>
      </c>
      <c r="D8" s="257">
        <f>稳定性测试!$C$5+稳定性测试!$C$6+稳定性测试!$C$8</f>
        <v/>
      </c>
      <c r="E8" s="257">
        <f>稳定性测试!$C$5</f>
        <v/>
      </c>
      <c r="F8" s="257">
        <f>稳定性测试!$C$6</f>
        <v/>
      </c>
      <c r="G8" s="257">
        <f>稳定性测试!$C$7</f>
        <v/>
      </c>
      <c r="H8" s="257">
        <f>稳定性测试!$C$8</f>
        <v/>
      </c>
      <c r="I8" s="257">
        <f>稳定性测试!$C$9</f>
        <v/>
      </c>
      <c r="J8" s="262">
        <f>IFERROR(D8/C8,"")</f>
        <v/>
      </c>
      <c r="K8" s="258">
        <f>IFERROR(E8/D8,"")</f>
        <v/>
      </c>
      <c r="L8" s="258">
        <f>IFERROR(F8/D8,"")</f>
        <v/>
      </c>
      <c r="M8" s="259">
        <f>IFERROR(H8/D8,"")</f>
        <v/>
      </c>
    </row>
    <row r="9" ht="20" customHeight="1" s="1">
      <c r="B9" s="263" t="inlineStr">
        <is>
          <t>合计</t>
        </is>
      </c>
      <c r="C9" s="264">
        <f>SUM(C4:C8)</f>
        <v/>
      </c>
      <c r="D9" s="264">
        <f>D4+D7+D8+D6+D5</f>
        <v/>
      </c>
      <c r="E9" s="264">
        <f>E4+E7+E8+E6+E5</f>
        <v/>
      </c>
      <c r="F9" s="264">
        <f>F4+F7+F8+F6+F5</f>
        <v/>
      </c>
      <c r="G9" s="264">
        <f>G4+G7+G8+G6+G5</f>
        <v/>
      </c>
      <c r="H9" s="264">
        <f>H4+H7+H8+H6+H5</f>
        <v/>
      </c>
      <c r="I9" s="264">
        <f>I4+I7+I8+I6+I5</f>
        <v/>
      </c>
      <c r="J9" s="265">
        <f>IFERROR(D9/C9,"")</f>
        <v/>
      </c>
      <c r="K9" s="266">
        <f>IFERROR(E9/D9,"")</f>
        <v/>
      </c>
      <c r="L9" s="265">
        <f>IFERROR(F9/D9,"")</f>
        <v/>
      </c>
      <c r="M9" s="267">
        <f>IFERROR(H9/D9,"")</f>
        <v/>
      </c>
    </row>
    <row r="10" ht="20" customHeight="1" s="1"/>
    <row r="11" ht="20" customHeight="1" s="1">
      <c r="B11" s="268" t="n"/>
      <c r="C11" s="269" t="inlineStr">
        <is>
          <t>Round1</t>
        </is>
      </c>
      <c r="D11" s="4" t="n"/>
      <c r="E11" s="4" t="n"/>
      <c r="F11" s="4" t="n"/>
      <c r="G11" s="5" t="n"/>
    </row>
    <row r="12" ht="112" customHeight="1" s="1">
      <c r="B12" s="208" t="inlineStr">
        <is>
          <t>测试基本信息</t>
        </is>
      </c>
      <c r="C12" s="209" t="n"/>
      <c r="D12" s="210" t="n"/>
      <c r="E12" s="210" t="n"/>
      <c r="F12" s="210" t="n"/>
      <c r="G12" s="211" t="n"/>
    </row>
    <row r="13" ht="71" customHeight="1" s="1">
      <c r="B13" s="208" t="inlineStr">
        <is>
          <t>质量/效率目标</t>
        </is>
      </c>
      <c r="C13" s="212" t="n"/>
      <c r="D13" s="210" t="n"/>
      <c r="E13" s="210" t="n"/>
      <c r="F13" s="210" t="n"/>
      <c r="G13" s="211" t="n"/>
    </row>
    <row r="14" ht="66" customHeight="1" s="1">
      <c r="B14" s="213" t="inlineStr">
        <is>
          <t>测试总结</t>
        </is>
      </c>
      <c r="C14" s="214" t="n"/>
      <c r="D14" s="215" t="n"/>
      <c r="E14" s="215" t="n"/>
      <c r="F14" s="215" t="n"/>
      <c r="G14" s="216" t="n"/>
    </row>
    <row r="15" ht="17" customHeight="1" s="1"/>
    <row r="16" ht="17" customHeight="1" s="1"/>
    <row r="17" ht="17" customHeight="1" s="1"/>
    <row r="18" ht="17" customHeight="1" s="1"/>
    <row r="19" ht="17" customHeight="1" s="1"/>
    <row r="20" ht="17" customHeight="1" s="1"/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  <row r="201" ht="17" customHeight="1" s="1"/>
    <row r="202" ht="17" customHeight="1" s="1"/>
  </sheetData>
  <mergeCells count="5">
    <mergeCell ref="B2:M2"/>
    <mergeCell ref="C12:G12"/>
    <mergeCell ref="C11:G11"/>
    <mergeCell ref="C14:G14"/>
    <mergeCell ref="C13:G13"/>
  </mergeCells>
  <hyperlinks>
    <hyperlink ref="B4" location="'功能测试'!A1" display="功能测试"/>
    <hyperlink ref="B5" location="故障测试!A1" display="故障测试"/>
    <hyperlink ref="B6" location="异常场景测试!A1" display="异常场景测试"/>
    <hyperlink ref="B7" location="'压力测试'!A1" display="压力测试"/>
    <hyperlink ref="B8" location="'稳定性测试'!A1" display="稳定性测试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T202"/>
  <sheetViews>
    <sheetView showGridLines="0" tabSelected="1" topLeftCell="E1" zoomScale="110" zoomScaleNormal="110" workbookViewId="0">
      <pane ySplit="14" topLeftCell="A15" activePane="bottomLeft" state="frozen"/>
      <selection pane="bottomLeft" activeCell="A1" sqref="A1"/>
      <selection pane="bottomLeft" activeCell="H72" sqref="H72"/>
    </sheetView>
  </sheetViews>
  <sheetFormatPr baseColWidth="8" defaultColWidth="13" defaultRowHeight="14.25"/>
  <cols>
    <col width="3" customWidth="1" style="1" min="1" max="1"/>
    <col width="27" customWidth="1" style="1" min="2" max="8"/>
    <col width="6" customWidth="1" style="1" min="9" max="9"/>
    <col width="14" customWidth="1" style="1" min="10" max="10"/>
    <col width="13" customWidth="1" style="1" min="11" max="11"/>
    <col width="2.55555555555556" customWidth="1" style="1" min="12" max="12"/>
    <col width="26" customWidth="1" style="1" min="13" max="13"/>
    <col width="29" customWidth="1" style="1" min="14" max="14"/>
    <col width="14" customWidth="1" style="1" min="15" max="15"/>
    <col width="17" customWidth="1" style="1" min="16" max="16"/>
    <col width="14" customWidth="1" style="1" min="17" max="20"/>
  </cols>
  <sheetData>
    <row r="1" ht="17" customHeight="1" s="1">
      <c r="H1" s="150" t="n"/>
      <c r="K1" s="151" t="n"/>
    </row>
    <row r="2" ht="25" customHeight="1" s="1">
      <c r="B2" s="270" t="inlineStr">
        <is>
          <t>功能测试</t>
        </is>
      </c>
      <c r="C2" s="64" t="n"/>
      <c r="D2" s="271" t="n"/>
      <c r="E2" s="272" t="n"/>
      <c r="F2" s="272" t="n"/>
      <c r="G2" s="272" t="n"/>
      <c r="H2" s="272" t="n"/>
      <c r="I2" s="272" t="n"/>
      <c r="J2" s="272" t="n"/>
      <c r="K2" s="273" t="n"/>
      <c r="L2" s="274" t="n"/>
      <c r="M2" s="274" t="n"/>
      <c r="N2" s="272" t="n"/>
      <c r="O2" s="272" t="n"/>
      <c r="P2" s="272" t="n"/>
    </row>
    <row r="3" ht="25" customHeight="1" s="1">
      <c r="B3" s="67" t="n"/>
      <c r="C3" s="68" t="n"/>
      <c r="D3" s="271" t="n"/>
      <c r="E3" s="272" t="n"/>
      <c r="F3" s="272" t="n"/>
      <c r="G3" s="272" t="n"/>
      <c r="H3" s="272" t="n"/>
      <c r="I3" s="272" t="n"/>
      <c r="J3" s="272" t="n"/>
      <c r="K3" s="273" t="n"/>
      <c r="L3" s="274" t="n"/>
      <c r="M3" s="274" t="n"/>
      <c r="N3" s="272" t="n"/>
      <c r="O3" s="272" t="n"/>
      <c r="P3" s="272" t="n"/>
    </row>
    <row r="4" ht="12" customHeight="1" s="1">
      <c r="B4" s="275" t="inlineStr">
        <is>
          <t>Total</t>
        </is>
      </c>
      <c r="C4" s="276">
        <f>COUNTA(B15:B73)</f>
        <v/>
      </c>
      <c r="D4" s="277" t="n"/>
      <c r="E4" s="272" t="n"/>
      <c r="F4" s="278" t="n"/>
      <c r="G4" s="272" t="n"/>
      <c r="H4" s="272" t="n"/>
      <c r="I4" s="272" t="n"/>
      <c r="J4" s="272" t="n"/>
      <c r="K4" s="273" t="n"/>
      <c r="L4" s="274" t="n"/>
      <c r="M4" s="274" t="n"/>
      <c r="N4" s="272" t="n"/>
      <c r="O4" s="272" t="n"/>
      <c r="P4" s="272" t="n"/>
    </row>
    <row r="5" ht="12" customHeight="1" s="1">
      <c r="B5" s="275" t="inlineStr">
        <is>
          <t>Pass</t>
        </is>
      </c>
      <c r="C5" s="276">
        <f>COUNTIF(K15:K725,B5)</f>
        <v/>
      </c>
      <c r="D5" s="277" t="n"/>
      <c r="E5" s="272" t="n"/>
      <c r="F5" s="278" t="n"/>
      <c r="G5" s="272" t="n"/>
      <c r="H5" s="272" t="n"/>
      <c r="I5" s="272" t="n"/>
      <c r="J5" s="272" t="n"/>
      <c r="K5" s="273" t="n"/>
      <c r="L5" s="274" t="n"/>
      <c r="M5" s="274" t="n"/>
      <c r="N5" s="272" t="n"/>
      <c r="O5" s="272" t="n"/>
      <c r="P5" s="272" t="n"/>
    </row>
    <row r="6" ht="12" customHeight="1" s="1">
      <c r="B6" s="275" t="inlineStr">
        <is>
          <t>Fail</t>
        </is>
      </c>
      <c r="C6" s="276">
        <f>COUNTIF(K15:K725,B6)</f>
        <v/>
      </c>
      <c r="D6" s="277" t="n"/>
      <c r="E6" s="272" t="n"/>
      <c r="F6" s="278" t="n"/>
      <c r="G6" s="272" t="n"/>
      <c r="H6" s="272" t="n"/>
      <c r="I6" s="272" t="n"/>
      <c r="J6" s="272" t="n"/>
      <c r="K6" s="273" t="n"/>
      <c r="L6" s="274" t="n"/>
      <c r="M6" s="274" t="n"/>
      <c r="N6" s="272" t="n"/>
      <c r="O6" s="272" t="n"/>
      <c r="P6" s="272" t="n"/>
    </row>
    <row r="7" ht="12" customHeight="1" s="1">
      <c r="B7" s="275" t="inlineStr">
        <is>
          <t>NT</t>
        </is>
      </c>
      <c r="C7" s="276">
        <f>COUNTIF(K16:K726,B7)</f>
        <v/>
      </c>
      <c r="D7" s="277" t="n"/>
      <c r="E7" s="272" t="n"/>
      <c r="F7" s="278" t="n"/>
      <c r="G7" s="272" t="n"/>
      <c r="H7" s="272" t="n"/>
      <c r="I7" s="272" t="n"/>
      <c r="J7" s="272" t="n"/>
      <c r="K7" s="273" t="n"/>
      <c r="L7" s="274" t="n"/>
      <c r="M7" s="274" t="n"/>
      <c r="N7" s="272" t="n"/>
      <c r="O7" s="272" t="n"/>
      <c r="P7" s="272" t="n"/>
    </row>
    <row r="8" ht="12" customHeight="1" s="1">
      <c r="B8" s="275" t="inlineStr">
        <is>
          <t>BLOCK</t>
        </is>
      </c>
      <c r="C8" s="276">
        <f>COUNTIF(K15:K725,B8)</f>
        <v/>
      </c>
      <c r="D8" s="277" t="n"/>
      <c r="E8" s="272" t="n"/>
      <c r="F8" s="278" t="n"/>
      <c r="G8" s="272" t="n"/>
      <c r="H8" s="272" t="n"/>
      <c r="I8" s="272" t="n"/>
      <c r="J8" s="272" t="n"/>
      <c r="K8" s="273" t="n"/>
      <c r="L8" s="274" t="n"/>
      <c r="M8" s="274" t="n"/>
      <c r="N8" s="272" t="n"/>
      <c r="O8" s="272" t="n"/>
      <c r="P8" s="272" t="n"/>
    </row>
    <row r="9" ht="12" customHeight="1" s="1">
      <c r="B9" s="275" t="inlineStr">
        <is>
          <t>NA</t>
        </is>
      </c>
      <c r="C9" s="276">
        <f>COUNTIF(K15:K725,B9)</f>
        <v/>
      </c>
      <c r="D9" s="277" t="n"/>
      <c r="E9" s="272" t="n"/>
      <c r="F9" s="278" t="n"/>
      <c r="G9" s="272" t="n"/>
      <c r="H9" s="272" t="n"/>
      <c r="I9" s="272" t="n"/>
      <c r="J9" s="272" t="n"/>
      <c r="K9" s="273" t="n"/>
      <c r="L9" s="274" t="n"/>
      <c r="M9" s="274" t="n"/>
      <c r="N9" s="272" t="n"/>
      <c r="O9" s="272" t="n"/>
      <c r="P9" s="272" t="n"/>
    </row>
    <row r="10" ht="12" customHeight="1" s="1">
      <c r="B10" s="275" t="inlineStr">
        <is>
          <t>Pass率</t>
        </is>
      </c>
      <c r="C10" s="279">
        <f>IFERROR(C5/(C4-C7-C9),"")</f>
        <v/>
      </c>
      <c r="D10" s="156" t="n"/>
      <c r="E10" s="272" t="n"/>
      <c r="F10" s="278" t="n"/>
      <c r="G10" s="272" t="n"/>
      <c r="H10" s="272" t="n"/>
      <c r="I10" s="272" t="n"/>
      <c r="J10" s="272" t="n"/>
      <c r="K10" s="273" t="n"/>
      <c r="L10" s="274" t="n"/>
      <c r="M10" s="274" t="n"/>
      <c r="N10" s="272" t="n"/>
      <c r="O10" s="272" t="n"/>
      <c r="P10" s="272" t="n"/>
    </row>
    <row r="11" ht="12" customHeight="1" s="1">
      <c r="B11" s="280" t="inlineStr">
        <is>
          <t>Fail率</t>
        </is>
      </c>
      <c r="C11" s="281">
        <f>IFERROR(C6/(C4-C7-C9),"")</f>
        <v/>
      </c>
      <c r="D11" s="156" t="n"/>
      <c r="E11" s="272" t="n"/>
      <c r="F11" s="278" t="n"/>
      <c r="G11" s="272" t="n"/>
      <c r="H11" s="272" t="n"/>
      <c r="I11" s="272" t="n"/>
      <c r="J11" s="272" t="n"/>
      <c r="K11" s="273" t="n"/>
      <c r="L11" s="274" t="n"/>
      <c r="M11" s="274" t="n"/>
      <c r="N11" s="272" t="n"/>
      <c r="O11" s="272" t="n"/>
      <c r="P11" s="272" t="n"/>
    </row>
    <row r="12" ht="12" customHeight="1" s="1">
      <c r="B12" s="151" t="n"/>
      <c r="C12" s="151" t="n"/>
      <c r="D12" s="151" t="n"/>
      <c r="H12" s="150" t="n"/>
      <c r="K12" s="151" t="n"/>
    </row>
    <row r="13" ht="14" customHeight="1" s="1">
      <c r="A13" s="157" t="n"/>
      <c r="B13" s="282" t="inlineStr">
        <is>
          <t>测试用例ID</t>
        </is>
      </c>
      <c r="C13" s="283" t="inlineStr">
        <is>
          <t>测试类型</t>
        </is>
      </c>
      <c r="D13" s="283" t="inlineStr">
        <is>
          <t>需求ID</t>
        </is>
      </c>
      <c r="E13" s="283" t="inlineStr">
        <is>
          <t>测试用例描述</t>
        </is>
      </c>
      <c r="F13" s="283" t="inlineStr">
        <is>
          <t>前置条件</t>
        </is>
      </c>
      <c r="G13" s="283" t="inlineStr">
        <is>
          <t>测试步骤</t>
        </is>
      </c>
      <c r="H13" s="283" t="inlineStr">
        <is>
          <t>预期结果</t>
        </is>
      </c>
      <c r="I13" s="283" t="inlineStr">
        <is>
          <t>优先级</t>
        </is>
      </c>
      <c r="J13" s="283" t="inlineStr">
        <is>
          <t>版本变更记录</t>
        </is>
      </c>
      <c r="K13" s="284" t="inlineStr">
        <is>
          <t>Round1</t>
        </is>
      </c>
      <c r="L13" s="4" t="n"/>
      <c r="M13" s="4" t="n"/>
      <c r="N13" s="4" t="n"/>
      <c r="O13" s="4" t="n"/>
      <c r="P13" s="5" t="n"/>
      <c r="Q13" s="157" t="n"/>
      <c r="R13" s="157" t="n"/>
      <c r="S13" s="157" t="n"/>
      <c r="T13" s="157" t="n"/>
    </row>
    <row r="14" ht="12" customHeight="1" s="1">
      <c r="A14" s="157" t="n"/>
      <c r="B14" s="77" t="n"/>
      <c r="C14" s="78" t="n"/>
      <c r="D14" s="78" t="n"/>
      <c r="E14" s="78" t="n"/>
      <c r="F14" s="78" t="n"/>
      <c r="G14" s="78" t="n"/>
      <c r="H14" s="78" t="n"/>
      <c r="I14" s="78" t="n"/>
      <c r="J14" s="78" t="n"/>
      <c r="K14" s="285" t="inlineStr">
        <is>
          <t>实际结果</t>
        </is>
      </c>
      <c r="L14" s="285" t="inlineStr">
        <is>
          <t>BUG</t>
        </is>
      </c>
      <c r="M14" s="286" t="inlineStr">
        <is>
          <t>备注(测试结果的log及图片等打包对应插入此列)</t>
        </is>
      </c>
      <c r="N14" s="286" t="inlineStr">
        <is>
          <t>测试版本</t>
        </is>
      </c>
      <c r="O14" s="285" t="inlineStr">
        <is>
          <t>实施者</t>
        </is>
      </c>
      <c r="P14" s="287" t="inlineStr">
        <is>
          <t>测试日期</t>
        </is>
      </c>
      <c r="Q14" s="157" t="n"/>
      <c r="R14" s="157" t="n"/>
      <c r="S14" s="157" t="n"/>
      <c r="T14" s="157" t="n"/>
    </row>
    <row r="15" ht="57.6" customHeight="1" s="1">
      <c r="A15" s="32" t="n"/>
      <c r="B15" s="288" t="inlineStr">
        <is>
          <t>FT_001_01</t>
        </is>
      </c>
      <c r="C15" s="289" t="inlineStr">
        <is>
          <t>点亮</t>
        </is>
      </c>
      <c r="D15" s="290" t="inlineStr"/>
      <c r="E15" s="291" t="inlineStr">
        <is>
          <t>验证A: 0: PANGU_IMX728V3_30F 的点亮情况</t>
        </is>
      </c>
      <c r="F15" s="291" t="inlineStr"/>
      <c r="G15" s="291" t="inlineStr">
        <is>
          <t>1、输入命令：./nvsipl_camera -c MIXGROUP_PREDEV_30FPS_MAX96724_CPHY_x4 -m "0x0001 0 0 0" -R -0 -1 -2 -s -f ./picture/ --skipFrames 10 --writeFrames 1 -Z
2、起流后输入gc 0</t>
        </is>
      </c>
      <c r="H15" s="291" t="inlineStr">
        <is>
          <t>1、执行命令无报错，可生成.raw文件
2、raw可正常查看，无异常</t>
        </is>
      </c>
      <c r="I15" s="289" t="inlineStr">
        <is>
          <t>P1</t>
        </is>
      </c>
      <c r="J15" s="292" t="inlineStr"/>
      <c r="K15" s="292" t="inlineStr">
        <is>
          <t>NT</t>
        </is>
      </c>
      <c r="L15" s="294" t="inlineStr"/>
      <c r="M15" s="114" t="inlineStr"/>
      <c r="N15" s="90" t="inlineStr"/>
      <c r="O15" s="295" t="inlineStr"/>
      <c r="P15" s="296" t="inlineStr">
        <is>
          <t>2026-10-28</t>
        </is>
      </c>
      <c r="Q15" s="32" t="n"/>
      <c r="R15" s="32" t="n"/>
      <c r="S15" s="32" t="n"/>
      <c r="T15" s="32" t="n"/>
    </row>
    <row r="16" ht="102.9" customHeight="1" s="1">
      <c r="A16" s="32" t="n"/>
      <c r="B16" s="288" t="inlineStr">
        <is>
          <t>FT_002_01</t>
        </is>
      </c>
      <c r="C16" s="289" t="inlineStr">
        <is>
          <t>点亮</t>
        </is>
      </c>
      <c r="D16" s="290" t="inlineStr"/>
      <c r="E16" s="291" t="inlineStr">
        <is>
          <t>验证A: 1: PANGU_IMX728V3_70F 的点亮情况</t>
        </is>
      </c>
      <c r="F16" s="291" t="inlineStr"/>
      <c r="G16" s="291" t="inlineStr">
        <is>
          <t>1、输入命令：./nvsipl_camera -c MIXGROUP_PREDEV_30FPS_MAX96724_CPHY_x4 -m "0x0010 0 0 0" -R -0 -1 -2 -s -f ./picture/ --skipFrames 10 --writeFrames 1 -Z
2、起流后输入gc 1</t>
        </is>
      </c>
      <c r="H16" s="291" t="inlineStr">
        <is>
          <t>1、执行命令无报错，可生成.raw文件
2、raw可正常查看，无异常</t>
        </is>
      </c>
      <c r="I16" s="289" t="inlineStr">
        <is>
          <t>P1</t>
        </is>
      </c>
      <c r="J16" s="292" t="inlineStr"/>
      <c r="K16" s="292" t="inlineStr">
        <is>
          <t>NT</t>
        </is>
      </c>
      <c r="L16" s="294" t="inlineStr"/>
      <c r="M16" s="158" t="inlineStr"/>
      <c r="N16" s="90" t="inlineStr"/>
      <c r="O16" s="295" t="inlineStr"/>
      <c r="P16" s="296" t="inlineStr">
        <is>
          <t>2026-10-28</t>
        </is>
      </c>
      <c r="Q16" s="32" t="n"/>
      <c r="R16" s="32" t="n"/>
      <c r="S16" s="32" t="n"/>
      <c r="T16" s="32" t="n"/>
    </row>
    <row r="17" ht="72.90000000000001" customHeight="1" s="1">
      <c r="A17" s="32" t="n"/>
      <c r="B17" s="288" t="inlineStr">
        <is>
          <t>FT_003_01</t>
        </is>
      </c>
      <c r="C17" s="289" t="inlineStr">
        <is>
          <t>点亮</t>
        </is>
      </c>
      <c r="D17" s="290" t="inlineStr"/>
      <c r="E17" s="291" t="inlineStr">
        <is>
          <t>验证A: 2: PANGU_IMX728V3_70F 的点亮情况</t>
        </is>
      </c>
      <c r="F17" s="291" t="inlineStr"/>
      <c r="G17" s="291" t="inlineStr">
        <is>
          <t>1、输入命令：./nvsipl_camera -c MIXGROUP_PREDEV_30FPS_MAX96724_CPHY_x4 -m "0x0100 0 0 0" -R -0 -1 -2 -s -f ./picture/ --skipFrames 10 --writeFrames 1 -Z
2、起流后输入gc 2</t>
        </is>
      </c>
      <c r="H17" s="291" t="inlineStr">
        <is>
          <t>1、执行命令无报错，可生成.raw文件
2、raw可正常查看，无异常</t>
        </is>
      </c>
      <c r="I17" s="289" t="inlineStr">
        <is>
          <t>P1</t>
        </is>
      </c>
      <c r="J17" s="292" t="inlineStr"/>
      <c r="K17" s="292" t="inlineStr">
        <is>
          <t>NT</t>
        </is>
      </c>
      <c r="L17" s="294" t="inlineStr"/>
      <c r="M17" s="114" t="inlineStr"/>
      <c r="N17" s="90" t="inlineStr"/>
      <c r="O17" s="295" t="inlineStr"/>
      <c r="P17" s="296" t="inlineStr">
        <is>
          <t>2026-10-28</t>
        </is>
      </c>
      <c r="Q17" s="32" t="n"/>
      <c r="R17" s="32" t="n"/>
      <c r="S17" s="32" t="n"/>
      <c r="T17" s="32" t="n"/>
    </row>
    <row r="18" ht="86.65000000000001" customHeight="1" s="1">
      <c r="A18" s="32" t="n"/>
      <c r="B18" s="288" t="inlineStr">
        <is>
          <t>FT_004_01</t>
        </is>
      </c>
      <c r="C18" s="289" t="inlineStr">
        <is>
          <t>点亮</t>
        </is>
      </c>
      <c r="D18" s="290" t="inlineStr"/>
      <c r="E18" s="291" t="inlineStr">
        <is>
          <t>验证A: 3: PANGU_IMX728V3_120F 的点亮情况</t>
        </is>
      </c>
      <c r="F18" s="291" t="inlineStr"/>
      <c r="G18" s="291" t="inlineStr">
        <is>
          <t>1、输入命令：./nvsipl_camera -c MIXGROUP_PREDEV_30FPS_MAX96724_CPHY_x4 -m "0x1000 0 0 0" -R -0 -1 -2 -s -f ./picture/ --skipFrames 10 --writeFrames 1 -Z
2、起流后输入gc 3</t>
        </is>
      </c>
      <c r="H18" s="291" t="inlineStr">
        <is>
          <t>1、执行命令无报错，可生成.raw文件
2、raw可正常查看，无异常</t>
        </is>
      </c>
      <c r="I18" s="289" t="inlineStr">
        <is>
          <t>P1</t>
        </is>
      </c>
      <c r="J18" s="292" t="inlineStr"/>
      <c r="K18" s="292" t="inlineStr">
        <is>
          <t>NT</t>
        </is>
      </c>
      <c r="L18" s="294" t="inlineStr"/>
      <c r="M18" s="114" t="inlineStr"/>
      <c r="N18" s="90" t="inlineStr"/>
      <c r="O18" s="295" t="inlineStr"/>
      <c r="P18" s="296" t="inlineStr">
        <is>
          <t>2026-10-28</t>
        </is>
      </c>
      <c r="Q18" s="32" t="n"/>
      <c r="R18" s="32" t="n"/>
      <c r="S18" s="32" t="n"/>
      <c r="T18" s="32" t="n"/>
    </row>
    <row r="19" ht="118.75" customHeight="1" s="1">
      <c r="A19" s="32" t="n"/>
      <c r="B19" s="288" t="inlineStr">
        <is>
          <t>FT_005_01</t>
        </is>
      </c>
      <c r="C19" s="289" t="inlineStr">
        <is>
          <t>点亮</t>
        </is>
      </c>
      <c r="D19" s="290" t="inlineStr"/>
      <c r="E19" s="291" t="inlineStr">
        <is>
          <t>验证B: 0: PANGU_IMX623_FRONT_REAR 的点亮情况</t>
        </is>
      </c>
      <c r="F19" s="291" t="inlineStr"/>
      <c r="G19" s="291" t="inlineStr">
        <is>
          <t>1、输入命令：./nvsipl_camera -c MIXGROUP_PREDEV_30FPS_MAX96724_CPHY_x4 -m "0 0x0001 0 0" -R -0 -1 -2 -s -f ./picture/ --skipFrames 10 --writeFrames 1 -Z
2、起流后输入gc 4</t>
        </is>
      </c>
      <c r="H19" s="291" t="inlineStr">
        <is>
          <t>1、执行命令无报错，可生成.raw文件
2、raw可正常查看，无异常</t>
        </is>
      </c>
      <c r="I19" s="289" t="inlineStr">
        <is>
          <t>P1</t>
        </is>
      </c>
      <c r="J19" s="292" t="inlineStr"/>
      <c r="K19" s="292" t="inlineStr">
        <is>
          <t>NT</t>
        </is>
      </c>
      <c r="L19" s="294" t="inlineStr"/>
      <c r="M19" s="114" t="inlineStr"/>
      <c r="N19" s="90" t="inlineStr"/>
      <c r="O19" s="295" t="inlineStr"/>
      <c r="P19" s="296" t="inlineStr">
        <is>
          <t>2026-10-28</t>
        </is>
      </c>
      <c r="Q19" s="32" t="n"/>
      <c r="R19" s="32" t="n"/>
      <c r="S19" s="32" t="n"/>
      <c r="T19" s="32" t="n"/>
    </row>
    <row r="20" ht="84.55" customHeight="1" s="1">
      <c r="A20" s="32" t="n"/>
      <c r="B20" s="288" t="inlineStr">
        <is>
          <t>FT_006_01</t>
        </is>
      </c>
      <c r="C20" s="289" t="inlineStr">
        <is>
          <t>点亮</t>
        </is>
      </c>
      <c r="D20" s="290" t="inlineStr"/>
      <c r="E20" s="291" t="inlineStr">
        <is>
          <t>验证B: 1: PANGU_IMX623_FRONT_REAR 的点亮情况</t>
        </is>
      </c>
      <c r="F20" s="291" t="inlineStr"/>
      <c r="G20" s="291" t="inlineStr">
        <is>
          <t>1、输入命令：./nvsipl_camera -c MIXGROUP_PREDEV_30FPS_MAX96724_CPHY_x4 -m "0 0x0010 0 0" -R -0 -1 -2 -s -f ./picture/ --skipFrames 10 --writeFrames 1 -Z
2、起流后输入gc 5</t>
        </is>
      </c>
      <c r="H20" s="291" t="inlineStr">
        <is>
          <t>1、执行命令无报错，可生成.raw文件
2、raw可正常查看，无异常</t>
        </is>
      </c>
      <c r="I20" s="289" t="inlineStr">
        <is>
          <t>P1</t>
        </is>
      </c>
      <c r="J20" s="292" t="inlineStr"/>
      <c r="K20" s="292" t="inlineStr">
        <is>
          <t>NT</t>
        </is>
      </c>
      <c r="L20" s="294" t="inlineStr"/>
      <c r="M20" s="114" t="inlineStr"/>
      <c r="N20" s="90" t="inlineStr"/>
      <c r="O20" s="295" t="inlineStr"/>
      <c r="P20" s="296" t="inlineStr">
        <is>
          <t>2026-10-28</t>
        </is>
      </c>
      <c r="Q20" s="32" t="n"/>
      <c r="R20" s="32" t="n"/>
      <c r="S20" s="32" t="n"/>
      <c r="T20" s="32" t="n"/>
    </row>
    <row r="21" ht="82.25" customHeight="1" s="1">
      <c r="A21" s="32" t="n"/>
      <c r="B21" s="288" t="inlineStr">
        <is>
          <t>FT_007_01</t>
        </is>
      </c>
      <c r="C21" s="289" t="inlineStr">
        <is>
          <t>点亮</t>
        </is>
      </c>
      <c r="D21" s="290" t="inlineStr"/>
      <c r="E21" s="291" t="inlineStr">
        <is>
          <t>验证B: 2: PANGU_IMX623_SIDE 的点亮情况</t>
        </is>
      </c>
      <c r="F21" s="291" t="inlineStr"/>
      <c r="G21" s="291" t="inlineStr">
        <is>
          <t>1、输入命令：./nvsipl_camera -c MIXGROUP_PREDEV_30FPS_MAX96724_CPHY_x4 -m "0 0x0100 0 0" -R -0 -1 -2 -s -f ./picture/ --skipFrames 10 --writeFrames 1 -Z
2、起流后输入gc 6</t>
        </is>
      </c>
      <c r="H21" s="291" t="inlineStr">
        <is>
          <t>1、执行命令无报错，可生成.raw文件
2、raw可正常查看，无异常</t>
        </is>
      </c>
      <c r="I21" s="289" t="inlineStr">
        <is>
          <t>P1</t>
        </is>
      </c>
      <c r="J21" s="292" t="inlineStr"/>
      <c r="K21" s="292" t="inlineStr">
        <is>
          <t>NT</t>
        </is>
      </c>
      <c r="L21" s="294" t="inlineStr"/>
      <c r="M21" s="159" t="inlineStr"/>
      <c r="N21" s="90" t="inlineStr"/>
      <c r="O21" s="295" t="inlineStr"/>
      <c r="P21" s="296" t="inlineStr">
        <is>
          <t>2026-10-28</t>
        </is>
      </c>
      <c r="Q21" s="32" t="n"/>
      <c r="R21" s="32" t="n"/>
      <c r="S21" s="32" t="n"/>
      <c r="T21" s="32" t="n"/>
    </row>
    <row r="22" ht="112.5" customHeight="1" s="1">
      <c r="A22" s="32" t="n"/>
      <c r="B22" s="288" t="inlineStr">
        <is>
          <t>FT_008_01</t>
        </is>
      </c>
      <c r="C22" s="289" t="inlineStr">
        <is>
          <t>点亮</t>
        </is>
      </c>
      <c r="D22" s="290" t="inlineStr"/>
      <c r="E22" s="291" t="inlineStr">
        <is>
          <t>验证B: 3: PANGU_IMX623_SIDE 的点亮情况</t>
        </is>
      </c>
      <c r="F22" s="291" t="inlineStr"/>
      <c r="G22" s="291" t="inlineStr">
        <is>
          <t>1、输入命令：./nvsipl_camera -c MIXGROUP_PREDEV_30FPS_MAX96724_CPHY_x4 -m "0 0x1000 0 0" -R -0 -1 -2 -s -f ./picture/ --skipFrames 10 --writeFrames 1 -Z
2、起流后输入gc 7</t>
        </is>
      </c>
      <c r="H22" s="291" t="inlineStr">
        <is>
          <t>1、执行命令无报错，可生成.raw文件
2、raw可正常查看，无异常</t>
        </is>
      </c>
      <c r="I22" s="289" t="inlineStr">
        <is>
          <t>P1</t>
        </is>
      </c>
      <c r="J22" s="292" t="inlineStr"/>
      <c r="K22" s="292" t="inlineStr">
        <is>
          <t>NT</t>
        </is>
      </c>
      <c r="L22" s="294" t="inlineStr"/>
      <c r="M22" s="114" t="inlineStr"/>
      <c r="N22" s="90" t="inlineStr"/>
      <c r="O22" s="295" t="inlineStr"/>
      <c r="P22" s="296" t="inlineStr">
        <is>
          <t>2026-10-28</t>
        </is>
      </c>
      <c r="Q22" s="32" t="n"/>
      <c r="R22" s="32" t="n"/>
      <c r="S22" s="32" t="n"/>
      <c r="T22" s="32" t="n"/>
    </row>
    <row r="23" ht="101.25" customHeight="1" s="1">
      <c r="A23" s="32" t="n"/>
      <c r="B23" s="288" t="inlineStr">
        <is>
          <t>FT_009_01</t>
        </is>
      </c>
      <c r="C23" s="289" t="inlineStr">
        <is>
          <t>点亮</t>
        </is>
      </c>
      <c r="D23" s="290" t="inlineStr"/>
      <c r="E23" s="291" t="inlineStr">
        <is>
          <t>验证C: 0: PANGU_IMX728V3_120_SIDE 的点亮情况</t>
        </is>
      </c>
      <c r="F23" s="291" t="inlineStr"/>
      <c r="G23" s="291" t="inlineStr">
        <is>
          <t>1、输入命令：./nvsipl_camera -c MIXGROUP_PREDEV_30FPS_MAX96724_CPHY_x4 -m "0 0 0x0001 0" -R -0 -1 -2 -s -f ./picture/ --skipFrames 10 --writeFrames 1 -Z
2、起流后输入gc 8</t>
        </is>
      </c>
      <c r="H23" s="291" t="inlineStr">
        <is>
          <t>1、执行命令无报错，可生成.raw文件
2、raw可正常查看，无异常</t>
        </is>
      </c>
      <c r="I23" s="289" t="inlineStr">
        <is>
          <t>P1</t>
        </is>
      </c>
      <c r="J23" s="292" t="inlineStr"/>
      <c r="K23" s="292" t="inlineStr">
        <is>
          <t>NT</t>
        </is>
      </c>
      <c r="L23" s="294" t="inlineStr"/>
      <c r="M23" s="160" t="inlineStr"/>
      <c r="N23" s="90" t="inlineStr"/>
      <c r="O23" s="295" t="inlineStr"/>
      <c r="P23" s="296" t="inlineStr">
        <is>
          <t>2026-10-28</t>
        </is>
      </c>
      <c r="Q23" s="32" t="n"/>
      <c r="R23" s="32" t="n"/>
      <c r="S23" s="32" t="n"/>
      <c r="T23" s="32" t="n"/>
    </row>
    <row r="24" ht="49.9" customHeight="1" s="1">
      <c r="A24" s="32" t="n"/>
      <c r="B24" s="288" t="inlineStr">
        <is>
          <t>FT_010_01</t>
        </is>
      </c>
      <c r="C24" s="289" t="inlineStr">
        <is>
          <t>点亮</t>
        </is>
      </c>
      <c r="D24" s="290" t="inlineStr"/>
      <c r="E24" s="291" t="inlineStr">
        <is>
          <t>验证C: 1: PANGU_IMX728V3_120_SIDE 的点亮情况</t>
        </is>
      </c>
      <c r="F24" s="291" t="inlineStr"/>
      <c r="G24" s="291" t="inlineStr">
        <is>
          <t>1、输入命令：./nvsipl_camera -c MIXGROUP_PREDEV_30FPS_MAX96724_CPHY_x4 -m "0 0 0x0010 0" -R -0 -1 -2 -s -f ./picture/ --skipFrames 10 --writeFrames 1 -Z
2、起流后输入gc 9</t>
        </is>
      </c>
      <c r="H24" s="291" t="inlineStr">
        <is>
          <t>1、执行命令无报错，可生成.raw文件
2、raw可正常查看，无异常</t>
        </is>
      </c>
      <c r="I24" s="289" t="inlineStr">
        <is>
          <t>P1</t>
        </is>
      </c>
      <c r="J24" s="292" t="inlineStr"/>
      <c r="K24" s="292" t="inlineStr">
        <is>
          <t>NT</t>
        </is>
      </c>
      <c r="L24" s="294" t="inlineStr"/>
      <c r="M24" s="161" t="inlineStr"/>
      <c r="N24" s="90" t="inlineStr"/>
      <c r="O24" s="295" t="inlineStr"/>
      <c r="P24" s="296" t="inlineStr">
        <is>
          <t>2026-10-28</t>
        </is>
      </c>
      <c r="Q24" s="32" t="n"/>
      <c r="R24" s="32" t="n"/>
      <c r="S24" s="32" t="n"/>
      <c r="T24" s="32" t="n"/>
    </row>
    <row r="25" ht="191.25" customHeight="1" s="1">
      <c r="A25" s="32" t="n"/>
      <c r="B25" s="288" t="inlineStr">
        <is>
          <t>FT_011_01</t>
        </is>
      </c>
      <c r="C25" s="289" t="inlineStr">
        <is>
          <t>点亮</t>
        </is>
      </c>
      <c r="D25" s="290" t="inlineStr"/>
      <c r="E25" s="291" t="inlineStr">
        <is>
          <t>验证C: 2: PANGU_IMX728V3_120F 的点亮情况</t>
        </is>
      </c>
      <c r="F25" s="291" t="inlineStr"/>
      <c r="G25" s="291" t="inlineStr">
        <is>
          <t>1、输入命令：./nvsipl_camera -c MIXGROUP_PREDEV_30FPS_MAX96724_CPHY_x4 -m "0 0 0x0100 0" -R -0 -1 -2 -s -f ./picture/ --skipFrames 10 --writeFrames 1 -Z
2、起流后输入gc 10</t>
        </is>
      </c>
      <c r="H25" s="291" t="inlineStr">
        <is>
          <t>1、执行命令无报错，可生成.raw文件
2、raw可正常查看，无异常</t>
        </is>
      </c>
      <c r="I25" s="289" t="inlineStr">
        <is>
          <t>P1</t>
        </is>
      </c>
      <c r="J25" s="292" t="inlineStr"/>
      <c r="K25" s="292" t="inlineStr">
        <is>
          <t>NT</t>
        </is>
      </c>
      <c r="L25" s="294" t="inlineStr"/>
      <c r="M25" s="158" t="inlineStr"/>
      <c r="N25" s="90" t="inlineStr"/>
      <c r="O25" s="295" t="inlineStr"/>
      <c r="P25" s="296" t="inlineStr">
        <is>
          <t>2026-10-28</t>
        </is>
      </c>
      <c r="Q25" s="32" t="n"/>
      <c r="R25" s="32" t="n"/>
      <c r="S25" s="32" t="n"/>
      <c r="T25" s="32" t="n"/>
    </row>
    <row r="26" ht="191.25" customHeight="1" s="1">
      <c r="A26" s="32" t="n"/>
      <c r="B26" s="288" t="inlineStr">
        <is>
          <t>FT_012_01</t>
        </is>
      </c>
      <c r="C26" s="289" t="inlineStr">
        <is>
          <t>点亮</t>
        </is>
      </c>
      <c r="D26" s="290" t="inlineStr"/>
      <c r="E26" s="291" t="inlineStr">
        <is>
          <t>验证C: 3: PANGU_IMX728V3_120F 的点亮情况</t>
        </is>
      </c>
      <c r="F26" s="291" t="inlineStr"/>
      <c r="G26" s="291" t="inlineStr">
        <is>
          <t>1、输入命令：./nvsipl_camera -c MIXGROUP_PREDEV_30FPS_MAX96724_CPHY_x4 -m "0 0 0x1000 0" -R -0 -1 -2 -s -f ./picture/ --skipFrames 10 --writeFrames 1 -Z
2、起流后输入gc 11</t>
        </is>
      </c>
      <c r="H26" s="291" t="inlineStr">
        <is>
          <t>1、执行命令无报错，可生成.raw文件
2、raw可正常查看，无异常</t>
        </is>
      </c>
      <c r="I26" s="289" t="inlineStr">
        <is>
          <t>P1</t>
        </is>
      </c>
      <c r="J26" s="292" t="inlineStr"/>
      <c r="K26" s="292" t="inlineStr">
        <is>
          <t>NT</t>
        </is>
      </c>
      <c r="L26" s="294" t="inlineStr"/>
      <c r="M26" s="114" t="inlineStr"/>
      <c r="N26" s="90" t="inlineStr"/>
      <c r="O26" s="295" t="inlineStr"/>
      <c r="P26" s="296" t="inlineStr">
        <is>
          <t>2026-10-28</t>
        </is>
      </c>
      <c r="Q26" s="32" t="n"/>
      <c r="R26" s="32" t="n"/>
      <c r="S26" s="32" t="n"/>
      <c r="T26" s="32" t="n"/>
    </row>
    <row r="27" ht="202.5" customHeight="1" s="1">
      <c r="A27" s="32" t="n"/>
      <c r="B27" s="288" t="inlineStr">
        <is>
          <t>FT_013_01</t>
        </is>
      </c>
      <c r="C27" s="289" t="inlineStr">
        <is>
          <t>点亮</t>
        </is>
      </c>
      <c r="D27" s="290" t="inlineStr"/>
      <c r="E27" s="291" t="inlineStr">
        <is>
          <t>验证D: 0: PANGU_IMX728V3_70F 的点亮情况</t>
        </is>
      </c>
      <c r="F27" s="291" t="inlineStr"/>
      <c r="G27" s="291" t="inlineStr">
        <is>
          <t>1、输入命令：./nvsipl_camera -c MIXGROUP_PREDEV_30FPS_MAX96724_CPHY_x4 -m "0 0 0 0x0001" -R -0 -1 -2 -s -f ./picture/ --skipFrames 10 --writeFrames 1 -Z
2、起流后输入gc 12</t>
        </is>
      </c>
      <c r="H27" s="291" t="inlineStr">
        <is>
          <t>1、执行命令无报错，可生成.raw文件
2、raw可正常查看，无异常</t>
        </is>
      </c>
      <c r="I27" s="289" t="inlineStr">
        <is>
          <t>P1</t>
        </is>
      </c>
      <c r="J27" s="292" t="inlineStr"/>
      <c r="K27" s="292" t="inlineStr">
        <is>
          <t>NT</t>
        </is>
      </c>
      <c r="L27" s="294" t="inlineStr"/>
      <c r="M27" s="114" t="inlineStr"/>
      <c r="N27" s="90" t="inlineStr"/>
      <c r="O27" s="295" t="inlineStr"/>
      <c r="P27" s="296" t="inlineStr">
        <is>
          <t>2026-10-28</t>
        </is>
      </c>
      <c r="Q27" s="32" t="n"/>
      <c r="R27" s="32" t="n"/>
      <c r="S27" s="32" t="n"/>
      <c r="T27" s="32" t="n"/>
    </row>
    <row r="28" ht="67.5" customHeight="1" s="1">
      <c r="A28" s="32" t="n"/>
      <c r="B28" s="288" t="inlineStr">
        <is>
          <t>FT_014_01</t>
        </is>
      </c>
      <c r="C28" s="289" t="inlineStr">
        <is>
          <t>点亮</t>
        </is>
      </c>
      <c r="D28" s="290" t="inlineStr"/>
      <c r="E28" s="291" t="inlineStr">
        <is>
          <t>验证D: 1: PANGU_IMX728V3_70F 的点亮情况</t>
        </is>
      </c>
      <c r="F28" s="291" t="inlineStr"/>
      <c r="G28" s="291" t="inlineStr">
        <is>
          <t>1、输入命令：./nvsipl_camera -c MIXGROUP_PREDEV_30FPS_MAX96724_CPHY_x4 -m "0 0 0 0x0010" -R -0 -1 -2 -s -f ./picture/ --skipFrames 10 --writeFrames 1 -Z
2、起流后输入gc 13</t>
        </is>
      </c>
      <c r="H28" s="291" t="inlineStr">
        <is>
          <t>1、执行命令无报错，可生成.raw文件
2、raw可正常查看，无异常</t>
        </is>
      </c>
      <c r="I28" s="289" t="inlineStr">
        <is>
          <t>P1</t>
        </is>
      </c>
      <c r="J28" s="292" t="inlineStr"/>
      <c r="K28" s="292" t="inlineStr">
        <is>
          <t>NT</t>
        </is>
      </c>
      <c r="L28" s="294" t="inlineStr"/>
      <c r="M28" s="114" t="inlineStr"/>
      <c r="N28" s="90" t="inlineStr"/>
      <c r="O28" s="295" t="inlineStr"/>
      <c r="P28" s="296" t="inlineStr">
        <is>
          <t>2026-10-28</t>
        </is>
      </c>
      <c r="Q28" s="32" t="n"/>
      <c r="R28" s="32" t="n"/>
      <c r="S28" s="32" t="n"/>
      <c r="T28" s="32" t="n"/>
    </row>
    <row r="29" ht="67.5" customHeight="1" s="1">
      <c r="A29" s="32" t="n"/>
      <c r="B29" s="288" t="inlineStr">
        <is>
          <t>FT_015_01</t>
        </is>
      </c>
      <c r="C29" s="289" t="inlineStr">
        <is>
          <t>点亮</t>
        </is>
      </c>
      <c r="D29" s="290" t="inlineStr"/>
      <c r="E29" s="291" t="inlineStr">
        <is>
          <t>验证D: 2: PANGU_IMX728V3_70F 的点亮情况</t>
        </is>
      </c>
      <c r="F29" s="291" t="inlineStr"/>
      <c r="G29" s="291" t="inlineStr">
        <is>
          <t>1、输入命令：./nvsipl_camera -c MIXGROUP_PREDEV_30FPS_MAX96724_CPHY_x4 -m "0 0 0 0x0100" -R -0 -1 -2 -s -f ./picture/ --skipFrames 10 --writeFrames 1 -Z
2、起流后输入gc 14</t>
        </is>
      </c>
      <c r="H29" s="291" t="inlineStr">
        <is>
          <t>1、执行命令无报错，可生成.raw文件
2、raw可正常查看，无异常</t>
        </is>
      </c>
      <c r="I29" s="289" t="inlineStr">
        <is>
          <t>P1</t>
        </is>
      </c>
      <c r="J29" s="292" t="inlineStr"/>
      <c r="K29" s="292" t="inlineStr">
        <is>
          <t>NT</t>
        </is>
      </c>
      <c r="L29" s="294" t="inlineStr"/>
      <c r="M29" s="158" t="inlineStr"/>
      <c r="N29" s="90" t="inlineStr"/>
      <c r="O29" s="295" t="inlineStr"/>
      <c r="P29" s="296" t="inlineStr">
        <is>
          <t>2026-10-28</t>
        </is>
      </c>
      <c r="Q29" s="32" t="n"/>
      <c r="R29" s="32" t="n"/>
      <c r="S29" s="32" t="n"/>
      <c r="T29" s="32" t="n"/>
    </row>
    <row r="30" ht="78.75" customHeight="1" s="1">
      <c r="A30" s="32" t="n"/>
      <c r="B30" s="288" t="inlineStr">
        <is>
          <t>FT_016_01</t>
        </is>
      </c>
      <c r="C30" s="289" t="inlineStr">
        <is>
          <t>点亮</t>
        </is>
      </c>
      <c r="D30" s="290" t="inlineStr"/>
      <c r="E30" s="291" t="inlineStr">
        <is>
          <t>验证D: 3: PANGU_IMX728V3_70F 的点亮情况</t>
        </is>
      </c>
      <c r="F30" s="291" t="inlineStr"/>
      <c r="G30" s="291" t="inlineStr">
        <is>
          <t>1、输入命令：./nvsipl_camera -c MIXGROUP_PREDEV_30FPS_MAX96724_CPHY_x4 -m "0 0 0 0x1000" -R -0 -1 -2 -s -f ./picture/ --skipFrames 10 --writeFrames 1 -Z
2、起流后输入gc 15</t>
        </is>
      </c>
      <c r="H30" s="291" t="inlineStr">
        <is>
          <t>1、执行命令无报错，可生成.raw文件
2、raw可正常查看，无异常</t>
        </is>
      </c>
      <c r="I30" s="289" t="inlineStr">
        <is>
          <t>P1</t>
        </is>
      </c>
      <c r="J30" s="292" t="inlineStr"/>
      <c r="K30" s="292" t="inlineStr">
        <is>
          <t>NT</t>
        </is>
      </c>
      <c r="L30" s="294" t="inlineStr"/>
      <c r="M30" s="114" t="inlineStr"/>
      <c r="N30" s="90" t="inlineStr"/>
      <c r="O30" s="295" t="inlineStr"/>
      <c r="P30" s="296" t="inlineStr">
        <is>
          <t>2026-10-28</t>
        </is>
      </c>
      <c r="Q30" s="32" t="n"/>
      <c r="R30" s="32" t="n"/>
      <c r="S30" s="32" t="n"/>
      <c r="T30" s="32" t="n"/>
    </row>
    <row r="31" ht="146.25" customHeight="1" s="1">
      <c r="A31" s="32" t="n"/>
      <c r="B31" s="288" t="n"/>
      <c r="C31" s="289" t="n"/>
      <c r="D31" s="290" t="n"/>
      <c r="E31" s="291" t="n"/>
      <c r="F31" s="291" t="n"/>
      <c r="G31" s="291" t="n"/>
      <c r="H31" s="291" t="n"/>
      <c r="I31" s="289" t="n"/>
      <c r="J31" s="292" t="n"/>
      <c r="K31" s="359" t="n"/>
      <c r="L31" s="294" t="n"/>
      <c r="M31" s="114" t="n"/>
      <c r="N31" s="90" t="n"/>
      <c r="O31" s="295" t="n"/>
      <c r="P31" s="296" t="n"/>
      <c r="Q31" s="32" t="n"/>
      <c r="R31" s="32" t="n"/>
      <c r="S31" s="32" t="n"/>
      <c r="T31" s="32" t="n"/>
    </row>
    <row r="32" ht="146.25" customHeight="1" s="1">
      <c r="A32" s="32" t="n"/>
      <c r="B32" s="288" t="n"/>
      <c r="C32" s="289" t="n"/>
      <c r="D32" s="290" t="n"/>
      <c r="E32" s="291" t="n"/>
      <c r="F32" s="291" t="n"/>
      <c r="G32" s="291" t="n"/>
      <c r="H32" s="291" t="n"/>
      <c r="I32" s="289" t="n"/>
      <c r="J32" s="292" t="n"/>
      <c r="K32" s="359" t="n"/>
      <c r="L32" s="294" t="n"/>
      <c r="M32" s="114" t="n"/>
      <c r="N32" s="90" t="n"/>
      <c r="O32" s="295" t="n"/>
      <c r="P32" s="296" t="n"/>
      <c r="Q32" s="32" t="n"/>
      <c r="R32" s="32" t="n"/>
      <c r="S32" s="32" t="n"/>
      <c r="T32" s="32" t="n"/>
    </row>
    <row r="33" ht="146.25" customHeight="1" s="1">
      <c r="A33" s="32" t="n"/>
      <c r="B33" s="288" t="n"/>
      <c r="C33" s="289" t="n"/>
      <c r="D33" s="290" t="n"/>
      <c r="E33" s="291" t="n"/>
      <c r="F33" s="291" t="n"/>
      <c r="G33" s="291" t="n"/>
      <c r="H33" s="291" t="n"/>
      <c r="I33" s="289" t="n"/>
      <c r="J33" s="292" t="n"/>
      <c r="K33" s="359" t="n"/>
      <c r="L33" s="294" t="n"/>
      <c r="M33" s="114" t="n"/>
      <c r="N33" s="90" t="n"/>
      <c r="O33" s="295" t="n"/>
      <c r="P33" s="296" t="n"/>
      <c r="Q33" s="32" t="n"/>
      <c r="R33" s="32" t="n"/>
      <c r="S33" s="32" t="n"/>
      <c r="T33" s="32" t="n"/>
    </row>
    <row r="34" ht="93.84999999999999" customHeight="1" s="1">
      <c r="A34" s="32" t="n"/>
      <c r="B34" s="288" t="n"/>
      <c r="C34" s="289" t="n"/>
      <c r="D34" s="290" t="n"/>
      <c r="E34" s="291" t="n"/>
      <c r="F34" s="291" t="n"/>
      <c r="G34" s="291" t="n"/>
      <c r="H34" s="291" t="n"/>
      <c r="I34" s="289" t="n"/>
      <c r="J34" s="292" t="n"/>
      <c r="K34" s="292" t="n"/>
      <c r="L34" s="294" t="n"/>
      <c r="M34" s="114" t="n"/>
      <c r="N34" s="90" t="n"/>
      <c r="O34" s="295" t="n"/>
      <c r="P34" s="296" t="n"/>
      <c r="Q34" s="32" t="n"/>
      <c r="R34" s="32" t="n"/>
      <c r="S34" s="32" t="n"/>
      <c r="T34" s="32" t="n"/>
    </row>
    <row r="35" ht="146.25" customHeight="1" s="1">
      <c r="A35" s="32" t="n"/>
      <c r="B35" s="288" t="n"/>
      <c r="C35" s="289" t="n"/>
      <c r="D35" s="290" t="n"/>
      <c r="E35" s="291" t="n"/>
      <c r="F35" s="291" t="n"/>
      <c r="G35" s="291" t="n"/>
      <c r="H35" s="291" t="n"/>
      <c r="I35" s="289" t="n"/>
      <c r="J35" s="292" t="n"/>
      <c r="K35" s="359" t="n"/>
      <c r="L35" s="294" t="n"/>
      <c r="M35" s="114" t="n"/>
      <c r="N35" s="90" t="n"/>
      <c r="O35" s="295" t="n"/>
      <c r="P35" s="296" t="n"/>
      <c r="Q35" s="32" t="n"/>
      <c r="R35" s="32" t="n"/>
      <c r="S35" s="32" t="n"/>
      <c r="T35" s="32" t="n"/>
    </row>
    <row r="36" ht="90" customHeight="1" s="1">
      <c r="A36" s="32" t="n"/>
      <c r="B36" s="288" t="n"/>
      <c r="C36" s="289" t="n"/>
      <c r="D36" s="290" t="n"/>
      <c r="E36" s="300" t="n"/>
      <c r="F36" s="300" t="n"/>
      <c r="G36" s="300" t="n"/>
      <c r="H36" s="300" t="n"/>
      <c r="I36" s="289" t="n"/>
      <c r="J36" s="292" t="n"/>
      <c r="K36" s="292" t="n"/>
      <c r="L36" s="301" t="n"/>
      <c r="M36" s="302" t="n"/>
      <c r="N36" s="90" t="n"/>
      <c r="O36" s="295" t="n"/>
      <c r="P36" s="296" t="n"/>
      <c r="Q36" s="32" t="n"/>
      <c r="R36" s="32" t="n"/>
      <c r="S36" s="32" t="n"/>
      <c r="T36" s="32" t="n"/>
    </row>
    <row r="37" ht="135" customHeight="1" s="1">
      <c r="A37" s="32" t="n"/>
      <c r="B37" s="288" t="n"/>
      <c r="C37" s="289" t="n"/>
      <c r="D37" s="290" t="n"/>
      <c r="E37" s="291" t="n"/>
      <c r="F37" s="291" t="n"/>
      <c r="G37" s="291" t="n"/>
      <c r="H37" s="291" t="n"/>
      <c r="I37" s="289" t="n"/>
      <c r="J37" s="292" t="n"/>
      <c r="K37" s="292" t="n"/>
      <c r="L37" s="294" t="n"/>
      <c r="M37" s="158" t="n"/>
      <c r="N37" s="90" t="n"/>
      <c r="O37" s="295" t="n"/>
      <c r="P37" s="296" t="n"/>
      <c r="Q37" s="32" t="n"/>
      <c r="R37" s="32" t="n"/>
      <c r="S37" s="32" t="n"/>
      <c r="T37" s="32" t="n"/>
    </row>
    <row r="38" ht="55.95" customHeight="1" s="1">
      <c r="A38" s="32" t="n"/>
      <c r="B38" s="288" t="n"/>
      <c r="C38" s="289" t="n"/>
      <c r="D38" s="290" t="n"/>
      <c r="E38" s="291" t="n"/>
      <c r="F38" s="291" t="n"/>
      <c r="G38" s="291" t="n"/>
      <c r="H38" s="291" t="n"/>
      <c r="I38" s="289" t="n"/>
      <c r="J38" s="292" t="n"/>
      <c r="K38" s="292" t="n"/>
      <c r="L38" s="294" t="n"/>
      <c r="M38" s="158" t="n"/>
      <c r="N38" s="90" t="n"/>
      <c r="O38" s="295" t="n"/>
      <c r="P38" s="296" t="n"/>
      <c r="Q38" s="32" t="n"/>
      <c r="R38" s="32" t="n"/>
      <c r="S38" s="32" t="n"/>
      <c r="T38" s="32" t="n"/>
    </row>
    <row r="39" ht="40.7" customHeight="1" s="1">
      <c r="A39" s="32" t="n"/>
      <c r="B39" s="288" t="n"/>
      <c r="C39" s="289" t="n"/>
      <c r="D39" s="290" t="n"/>
      <c r="E39" s="291" t="n"/>
      <c r="F39" s="291" t="n"/>
      <c r="G39" s="291" t="n"/>
      <c r="H39" s="291" t="n"/>
      <c r="I39" s="289" t="n"/>
      <c r="J39" s="292" t="n"/>
      <c r="K39" s="292" t="n"/>
      <c r="L39" s="294" t="n"/>
      <c r="M39" s="158" t="n"/>
      <c r="N39" s="90" t="n"/>
      <c r="O39" s="295" t="n"/>
      <c r="P39" s="296" t="n"/>
      <c r="Q39" s="32" t="n"/>
      <c r="R39" s="32" t="n"/>
      <c r="S39" s="32" t="n"/>
      <c r="T39" s="32" t="n"/>
    </row>
    <row r="40" ht="113.35" customHeight="1" s="1">
      <c r="A40" s="32" t="n"/>
      <c r="B40" s="288" t="n"/>
      <c r="C40" s="289" t="n"/>
      <c r="D40" s="290" t="n"/>
      <c r="E40" s="291" t="n"/>
      <c r="F40" s="291" t="n"/>
      <c r="G40" s="291" t="n"/>
      <c r="H40" s="291" t="n"/>
      <c r="I40" s="289" t="n"/>
      <c r="J40" s="292" t="n"/>
      <c r="K40" s="292" t="n"/>
      <c r="L40" s="294" t="n"/>
      <c r="M40" s="158" t="n"/>
      <c r="N40" s="90" t="n"/>
      <c r="O40" s="295" t="n"/>
      <c r="P40" s="296" t="n"/>
      <c r="Q40" s="32" t="n"/>
      <c r="R40" s="32" t="n"/>
      <c r="S40" s="32" t="n"/>
      <c r="T40" s="32" t="n"/>
    </row>
    <row r="41" ht="146.25" customHeight="1" s="1">
      <c r="A41" s="32" t="n"/>
      <c r="B41" s="288" t="n"/>
      <c r="C41" s="289" t="n"/>
      <c r="D41" s="290" t="n"/>
      <c r="E41" s="291" t="n"/>
      <c r="F41" s="291" t="n"/>
      <c r="G41" s="291" t="n"/>
      <c r="H41" s="291" t="n"/>
      <c r="I41" s="289" t="n"/>
      <c r="J41" s="292" t="n"/>
      <c r="K41" s="292" t="n"/>
      <c r="L41" s="294" t="n"/>
      <c r="M41" s="158" t="n"/>
      <c r="N41" s="90" t="n"/>
      <c r="O41" s="295" t="n"/>
      <c r="P41" s="296" t="n"/>
      <c r="Q41" s="32" t="n"/>
      <c r="R41" s="32" t="n"/>
      <c r="S41" s="32" t="n"/>
      <c r="T41" s="32" t="n"/>
    </row>
    <row r="42" ht="146.25" customHeight="1" s="1">
      <c r="A42" s="32" t="n"/>
      <c r="B42" s="288" t="n"/>
      <c r="C42" s="289" t="n"/>
      <c r="D42" s="290" t="n"/>
      <c r="E42" s="291" t="n"/>
      <c r="F42" s="291" t="n"/>
      <c r="G42" s="291" t="n"/>
      <c r="H42" s="291" t="n"/>
      <c r="I42" s="289" t="n"/>
      <c r="J42" s="292" t="n"/>
      <c r="K42" s="292" t="n"/>
      <c r="L42" s="294" t="n"/>
      <c r="M42" s="159" t="n"/>
      <c r="N42" s="90" t="n"/>
      <c r="O42" s="295" t="n"/>
      <c r="P42" s="296" t="n"/>
      <c r="Q42" s="32" t="n"/>
      <c r="R42" s="32" t="n"/>
      <c r="S42" s="32" t="n"/>
      <c r="T42" s="32" t="n"/>
    </row>
    <row r="43" ht="157.5" customHeight="1" s="1">
      <c r="A43" s="32" t="n"/>
      <c r="B43" s="288" t="n"/>
      <c r="C43" s="289" t="n"/>
      <c r="D43" s="290" t="n"/>
      <c r="E43" s="291" t="n"/>
      <c r="F43" s="291" t="n"/>
      <c r="G43" s="291" t="n"/>
      <c r="H43" s="291" t="n"/>
      <c r="I43" s="289" t="n"/>
      <c r="J43" s="292" t="n"/>
      <c r="K43" s="292" t="n"/>
      <c r="L43" s="294" t="n"/>
      <c r="M43" s="158" t="n"/>
      <c r="N43" s="90" t="n"/>
      <c r="O43" s="295" t="n"/>
      <c r="P43" s="296" t="n"/>
      <c r="Q43" s="32" t="n"/>
      <c r="R43" s="32" t="n"/>
      <c r="S43" s="32" t="n"/>
      <c r="T43" s="32" t="n"/>
    </row>
    <row r="44" ht="123.75" customHeight="1" s="1">
      <c r="A44" s="32" t="n"/>
      <c r="B44" s="288" t="n"/>
      <c r="C44" s="289" t="n"/>
      <c r="D44" s="290" t="n"/>
      <c r="E44" s="291" t="n"/>
      <c r="F44" s="291" t="n"/>
      <c r="G44" s="291" t="n"/>
      <c r="H44" s="291" t="n"/>
      <c r="I44" s="289" t="n"/>
      <c r="J44" s="292" t="n"/>
      <c r="K44" s="292" t="n"/>
      <c r="L44" s="301" t="n"/>
      <c r="M44" s="302" t="n"/>
      <c r="N44" s="90" t="n"/>
      <c r="O44" s="295" t="n"/>
      <c r="P44" s="296" t="n"/>
      <c r="Q44" s="32" t="n"/>
      <c r="R44" s="32" t="n"/>
      <c r="S44" s="32" t="n"/>
      <c r="T44" s="32" t="n"/>
    </row>
    <row r="45" ht="157.5" customHeight="1" s="1">
      <c r="A45" s="32" t="n"/>
      <c r="B45" s="288" t="n"/>
      <c r="C45" s="289" t="n"/>
      <c r="D45" s="290" t="n"/>
      <c r="E45" s="291" t="n"/>
      <c r="F45" s="291" t="n"/>
      <c r="G45" s="291" t="n"/>
      <c r="H45" s="291" t="n"/>
      <c r="I45" s="289" t="n"/>
      <c r="J45" s="292" t="n"/>
      <c r="K45" s="292" t="n"/>
      <c r="L45" s="301" t="n"/>
      <c r="M45" s="302" t="n"/>
      <c r="N45" s="90" t="n"/>
      <c r="O45" s="295" t="n"/>
      <c r="P45" s="296" t="n"/>
      <c r="Q45" s="32" t="n"/>
      <c r="R45" s="32" t="n"/>
      <c r="S45" s="32" t="n"/>
      <c r="T45" s="32" t="n"/>
    </row>
    <row r="46" ht="70.7" customHeight="1" s="1">
      <c r="A46" s="32" t="n"/>
      <c r="B46" s="288" t="n"/>
      <c r="C46" s="289" t="n"/>
      <c r="D46" s="290" t="n"/>
      <c r="E46" s="291" t="n"/>
      <c r="F46" s="291" t="n"/>
      <c r="G46" s="291" t="n"/>
      <c r="H46" s="291" t="n"/>
      <c r="I46" s="289" t="n"/>
      <c r="J46" s="292" t="n"/>
      <c r="K46" s="292" t="n"/>
      <c r="L46" s="301" t="n"/>
      <c r="M46" s="302" t="n"/>
      <c r="N46" s="90" t="n"/>
      <c r="O46" s="295" t="n"/>
      <c r="P46" s="296" t="n"/>
      <c r="Q46" s="32" t="n"/>
      <c r="R46" s="32" t="n"/>
      <c r="S46" s="32" t="n"/>
      <c r="T46" s="32" t="n"/>
    </row>
    <row r="47" ht="76.25" customHeight="1" s="1">
      <c r="A47" s="32" t="n"/>
      <c r="B47" s="288" t="n"/>
      <c r="C47" s="289" t="n"/>
      <c r="D47" s="290" t="n"/>
      <c r="E47" s="291" t="n"/>
      <c r="F47" s="291" t="n"/>
      <c r="G47" s="291" t="n"/>
      <c r="H47" s="291" t="n"/>
      <c r="I47" s="289" t="n"/>
      <c r="J47" s="292" t="n"/>
      <c r="K47" s="360" t="n"/>
      <c r="L47" s="294" t="n"/>
      <c r="M47" s="168" t="n"/>
      <c r="N47" s="90" t="n"/>
      <c r="O47" s="295" t="n"/>
      <c r="P47" s="296" t="n"/>
      <c r="Q47" s="32" t="n"/>
      <c r="R47" s="32" t="n"/>
      <c r="S47" s="32" t="n"/>
      <c r="T47" s="32" t="n"/>
    </row>
    <row r="48" ht="75.7" customHeight="1" s="1">
      <c r="A48" s="32" t="n"/>
      <c r="B48" s="288" t="n"/>
      <c r="C48" s="289" t="n"/>
      <c r="D48" s="290" t="n"/>
      <c r="E48" s="291" t="n"/>
      <c r="F48" s="291" t="n"/>
      <c r="G48" s="291" t="n"/>
      <c r="H48" s="291" t="n"/>
      <c r="I48" s="289" t="n"/>
      <c r="J48" s="292" t="n"/>
      <c r="K48" s="360" t="n"/>
      <c r="L48" s="294" t="n"/>
      <c r="M48" s="168" t="n"/>
      <c r="N48" s="90" t="n"/>
      <c r="O48" s="295" t="n"/>
      <c r="P48" s="296" t="n"/>
      <c r="Q48" s="32" t="n"/>
      <c r="R48" s="32" t="n"/>
      <c r="S48" s="32" t="n"/>
      <c r="T48" s="32" t="n"/>
    </row>
    <row r="49" ht="82.2" customHeight="1" s="1">
      <c r="A49" s="32" t="n"/>
      <c r="B49" s="288" t="n"/>
      <c r="C49" s="289" t="n"/>
      <c r="D49" s="290" t="n"/>
      <c r="E49" s="291" t="n"/>
      <c r="F49" s="291" t="n"/>
      <c r="G49" s="291" t="n"/>
      <c r="H49" s="291" t="n"/>
      <c r="I49" s="289" t="n"/>
      <c r="J49" s="292" t="n"/>
      <c r="K49" s="292" t="n"/>
      <c r="L49" s="294" t="n"/>
      <c r="M49" s="158" t="n"/>
      <c r="N49" s="90" t="n"/>
      <c r="O49" s="295" t="n"/>
      <c r="P49" s="296" t="n"/>
      <c r="Q49" s="32" t="n"/>
      <c r="R49" s="32" t="n"/>
      <c r="S49" s="32" t="n"/>
      <c r="T49" s="32" t="n"/>
    </row>
    <row r="50" ht="129.45" customHeight="1" s="1">
      <c r="A50" s="32" t="n"/>
      <c r="B50" s="288" t="n"/>
      <c r="C50" s="289" t="n"/>
      <c r="D50" s="290" t="n"/>
      <c r="E50" s="113" t="n"/>
      <c r="F50" s="291" t="n"/>
      <c r="G50" s="291" t="n"/>
      <c r="H50" s="113" t="n"/>
      <c r="I50" s="289" t="n"/>
      <c r="J50" s="292" t="n"/>
      <c r="K50" s="292" t="n"/>
      <c r="L50" s="294" t="n"/>
      <c r="M50" s="302" t="n"/>
      <c r="N50" s="90" t="n"/>
      <c r="O50" s="295" t="n"/>
      <c r="P50" s="296" t="n"/>
      <c r="Q50" s="32" t="n"/>
      <c r="R50" s="32" t="n"/>
      <c r="S50" s="32" t="n"/>
      <c r="T50" s="32" t="n"/>
    </row>
    <row r="51" ht="146.25" customHeight="1" s="1">
      <c r="A51" s="32" t="n"/>
      <c r="B51" s="288" t="n"/>
      <c r="C51" s="289" t="n"/>
      <c r="D51" s="290" t="n"/>
      <c r="E51" s="113" t="n"/>
      <c r="F51" s="291" t="n"/>
      <c r="G51" s="291" t="n"/>
      <c r="H51" s="113" t="n"/>
      <c r="I51" s="289" t="n"/>
      <c r="J51" s="292" t="n"/>
      <c r="K51" s="292" t="n"/>
      <c r="L51" s="294" t="n"/>
      <c r="M51" s="302" t="n"/>
      <c r="N51" s="90" t="n"/>
      <c r="O51" s="295" t="n"/>
      <c r="P51" s="296" t="n"/>
      <c r="Q51" s="32" t="n"/>
      <c r="R51" s="32" t="n"/>
      <c r="S51" s="32" t="n"/>
      <c r="T51" s="32" t="n"/>
    </row>
    <row r="52" ht="112.5" customHeight="1" s="1">
      <c r="A52" s="32" t="n"/>
      <c r="B52" s="288" t="n"/>
      <c r="C52" s="289" t="n"/>
      <c r="D52" s="290" t="n"/>
      <c r="E52" s="113" t="n"/>
      <c r="F52" s="291" t="n"/>
      <c r="G52" s="291" t="n"/>
      <c r="H52" s="113" t="n"/>
      <c r="I52" s="289" t="n"/>
      <c r="J52" s="292" t="n"/>
      <c r="K52" s="292" t="n"/>
      <c r="L52" s="301" t="n"/>
      <c r="M52" s="302" t="n"/>
      <c r="N52" s="90" t="n"/>
      <c r="O52" s="295" t="n"/>
      <c r="P52" s="296" t="n"/>
      <c r="Q52" s="32" t="n"/>
      <c r="R52" s="32" t="n"/>
      <c r="S52" s="32" t="n"/>
      <c r="T52" s="32" t="n"/>
    </row>
    <row r="53" ht="112.5" customHeight="1" s="1">
      <c r="A53" s="32" t="n"/>
      <c r="B53" s="288" t="n"/>
      <c r="C53" s="289" t="n"/>
      <c r="D53" s="290" t="n"/>
      <c r="E53" s="113" t="n"/>
      <c r="F53" s="291" t="n"/>
      <c r="G53" s="291" t="n"/>
      <c r="H53" s="113" t="n"/>
      <c r="I53" s="289" t="n"/>
      <c r="J53" s="292" t="n"/>
      <c r="K53" s="292" t="n"/>
      <c r="L53" s="301" t="n"/>
      <c r="M53" s="302" t="n"/>
      <c r="N53" s="90" t="n"/>
      <c r="O53" s="295" t="n"/>
      <c r="P53" s="296" t="n"/>
      <c r="Q53" s="32" t="n"/>
      <c r="R53" s="32" t="n"/>
      <c r="S53" s="32" t="n"/>
      <c r="T53" s="32" t="n"/>
    </row>
    <row r="54" ht="245" customHeight="1" s="1">
      <c r="A54" s="32" t="n"/>
      <c r="B54" s="288" t="n"/>
      <c r="C54" s="289" t="n"/>
      <c r="D54" s="290" t="n"/>
      <c r="E54" s="113" t="n"/>
      <c r="F54" s="291" t="n"/>
      <c r="G54" s="291" t="n"/>
      <c r="H54" s="113" t="n"/>
      <c r="I54" s="289" t="n"/>
      <c r="J54" s="292" t="n"/>
      <c r="K54" s="292" t="n"/>
      <c r="L54" s="301" t="n"/>
      <c r="M54" s="302" t="n"/>
      <c r="N54" s="90" t="n"/>
      <c r="O54" s="295" t="n"/>
      <c r="P54" s="296" t="n"/>
      <c r="Q54" s="32" t="n"/>
      <c r="R54" s="32" t="n"/>
      <c r="S54" s="32" t="n"/>
      <c r="T54" s="32" t="n"/>
    </row>
    <row r="55" ht="104.2" customHeight="1" s="1">
      <c r="A55" s="32" t="n"/>
      <c r="B55" s="288" t="n"/>
      <c r="C55" s="289" t="n"/>
      <c r="D55" s="290" t="n"/>
      <c r="E55" s="113" t="n"/>
      <c r="F55" s="291" t="n"/>
      <c r="G55" s="291" t="n"/>
      <c r="H55" s="113" t="n"/>
      <c r="I55" s="289" t="n"/>
      <c r="J55" s="292" t="n"/>
      <c r="K55" s="292" t="n"/>
      <c r="L55" s="301" t="n"/>
      <c r="M55" s="302" t="n"/>
      <c r="N55" s="90" t="n"/>
      <c r="O55" s="295" t="n"/>
      <c r="P55" s="296" t="n"/>
      <c r="Q55" s="32" t="n"/>
      <c r="R55" s="32" t="n"/>
      <c r="S55" s="32" t="n"/>
      <c r="T55" s="32" t="n"/>
    </row>
    <row r="56" ht="105.25" customHeight="1" s="1">
      <c r="A56" s="32" t="n"/>
      <c r="B56" s="288" t="n"/>
      <c r="C56" s="289" t="n"/>
      <c r="D56" s="290" t="n"/>
      <c r="E56" s="291" t="n"/>
      <c r="F56" s="291" t="n"/>
      <c r="G56" s="291" t="n"/>
      <c r="H56" s="291" t="n"/>
      <c r="I56" s="289" t="n"/>
      <c r="J56" s="292" t="n"/>
      <c r="K56" s="292" t="n"/>
      <c r="L56" s="301" t="n"/>
      <c r="M56" s="302" t="n"/>
      <c r="N56" s="90" t="n"/>
      <c r="O56" s="295" t="n"/>
      <c r="P56" s="296" t="n"/>
      <c r="Q56" s="32" t="n"/>
      <c r="R56" s="32" t="n"/>
      <c r="S56" s="32" t="n"/>
      <c r="T56" s="32" t="n"/>
    </row>
    <row r="57" ht="101.8" customHeight="1" s="1">
      <c r="A57" s="32" t="n"/>
      <c r="B57" s="288" t="n"/>
      <c r="C57" s="289" t="n"/>
      <c r="D57" s="290" t="n"/>
      <c r="E57" s="291" t="n"/>
      <c r="F57" s="291" t="n"/>
      <c r="G57" s="291" t="n"/>
      <c r="H57" s="291" t="n"/>
      <c r="I57" s="289" t="n"/>
      <c r="J57" s="292" t="n"/>
      <c r="K57" s="292" t="n"/>
      <c r="L57" s="294" t="n"/>
      <c r="M57" s="114" t="n"/>
      <c r="N57" s="90" t="n"/>
      <c r="O57" s="295" t="n"/>
      <c r="P57" s="296" t="n"/>
      <c r="Q57" s="32" t="n"/>
      <c r="R57" s="32" t="n"/>
      <c r="S57" s="32" t="n"/>
      <c r="T57" s="32" t="n"/>
    </row>
    <row r="58" ht="141.6" customHeight="1" s="1">
      <c r="A58" s="32" t="n"/>
      <c r="B58" s="288" t="n"/>
      <c r="C58" s="289" t="n"/>
      <c r="D58" s="290" t="n"/>
      <c r="E58" s="291" t="n"/>
      <c r="F58" s="291" t="n"/>
      <c r="G58" s="291" t="n"/>
      <c r="H58" s="291" t="n"/>
      <c r="I58" s="289" t="n"/>
      <c r="J58" s="292" t="n"/>
      <c r="K58" s="292" t="n"/>
      <c r="L58" s="294" t="n"/>
      <c r="M58" s="114" t="n"/>
      <c r="N58" s="90" t="n"/>
      <c r="O58" s="295" t="n"/>
      <c r="P58" s="296" t="n"/>
      <c r="Q58" s="32" t="n"/>
      <c r="R58" s="32" t="n"/>
      <c r="S58" s="32" t="n"/>
      <c r="T58" s="32" t="n"/>
    </row>
    <row r="59" ht="169.7" customHeight="1" s="1">
      <c r="A59" s="32" t="n"/>
      <c r="B59" s="288" t="n"/>
      <c r="C59" s="289" t="n"/>
      <c r="D59" s="290" t="n"/>
      <c r="E59" s="291" t="n"/>
      <c r="F59" s="291" t="n"/>
      <c r="G59" s="291" t="n"/>
      <c r="H59" s="291" t="n"/>
      <c r="I59" s="289" t="n"/>
      <c r="J59" s="292" t="n"/>
      <c r="K59" s="292" t="n"/>
      <c r="L59" s="301" t="n"/>
      <c r="M59" s="302" t="n"/>
      <c r="N59" s="90" t="n"/>
      <c r="O59" s="295" t="n"/>
      <c r="P59" s="296" t="n"/>
      <c r="Q59" s="32" t="n"/>
      <c r="R59" s="32" t="n"/>
      <c r="S59" s="32" t="n"/>
      <c r="T59" s="32" t="n"/>
    </row>
    <row r="60" ht="106" customHeight="1" s="1">
      <c r="A60" s="32" t="n"/>
      <c r="B60" s="288" t="n"/>
      <c r="C60" s="305" t="n"/>
      <c r="D60" s="306" t="n"/>
      <c r="E60" s="132" t="n"/>
      <c r="F60" s="307" t="n"/>
      <c r="G60" s="307" t="n"/>
      <c r="H60" s="138" t="n"/>
      <c r="I60" s="115" t="n"/>
      <c r="J60" s="292" t="n"/>
      <c r="K60" s="292" t="n"/>
      <c r="L60" s="294" t="n"/>
      <c r="M60" s="114" t="n"/>
      <c r="N60" s="90" t="n"/>
      <c r="O60" s="295" t="n"/>
      <c r="P60" s="296" t="n"/>
      <c r="Q60" s="32" t="n"/>
      <c r="R60" s="32" t="n"/>
      <c r="S60" s="32" t="n"/>
      <c r="T60" s="32" t="n"/>
    </row>
    <row r="61" ht="106" customHeight="1" s="1">
      <c r="A61" s="32" t="n"/>
      <c r="B61" s="288" t="n"/>
      <c r="C61" s="305" t="n"/>
      <c r="D61" s="306" t="n"/>
      <c r="E61" s="132" t="n"/>
      <c r="F61" s="307" t="n"/>
      <c r="G61" s="307" t="n"/>
      <c r="H61" s="132" t="n"/>
      <c r="I61" s="140" t="n"/>
      <c r="J61" s="308" t="n"/>
      <c r="K61" s="292" t="n"/>
      <c r="L61" s="294" t="n"/>
      <c r="M61" s="114" t="n"/>
      <c r="N61" s="90" t="n"/>
      <c r="O61" s="295" t="n"/>
      <c r="P61" s="296" t="n"/>
      <c r="Q61" s="32" t="n"/>
      <c r="R61" s="32" t="n"/>
      <c r="S61" s="32" t="n"/>
      <c r="T61" s="32" t="n"/>
    </row>
    <row r="62" ht="106" customHeight="1" s="1">
      <c r="A62" s="32" t="n"/>
      <c r="B62" s="288" t="n"/>
      <c r="C62" s="305" t="n"/>
      <c r="D62" s="309" t="n"/>
      <c r="E62" s="119" t="n"/>
      <c r="F62" s="310" t="n"/>
      <c r="G62" s="310" t="n"/>
      <c r="H62" s="119" t="n"/>
      <c r="I62" s="120" t="n"/>
      <c r="J62" s="311" t="n"/>
      <c r="K62" s="292" t="n"/>
      <c r="L62" s="312" t="n"/>
      <c r="M62" s="114" t="n"/>
      <c r="N62" s="90" t="n"/>
      <c r="O62" s="295" t="n"/>
      <c r="P62" s="296" t="n"/>
      <c r="Q62" s="32" t="n"/>
      <c r="R62" s="32" t="n"/>
      <c r="S62" s="32" t="n"/>
      <c r="T62" s="32" t="n"/>
    </row>
    <row r="63" ht="106" customHeight="1" s="1">
      <c r="A63" s="32" t="n"/>
      <c r="B63" s="288" t="n"/>
      <c r="C63" s="305" t="n"/>
      <c r="D63" s="313" t="n"/>
      <c r="E63" s="119" t="n"/>
      <c r="F63" s="310" t="n"/>
      <c r="G63" s="310" t="n"/>
      <c r="H63" s="119" t="n"/>
      <c r="I63" s="120" t="n"/>
      <c r="J63" s="311" t="n"/>
      <c r="K63" s="292" t="n"/>
      <c r="L63" s="312" t="n"/>
      <c r="M63" s="114" t="n"/>
      <c r="N63" s="90" t="n"/>
      <c r="O63" s="295" t="n"/>
      <c r="P63" s="296" t="n"/>
      <c r="Q63" s="32" t="n"/>
      <c r="R63" s="32" t="n"/>
      <c r="S63" s="32" t="n"/>
      <c r="T63" s="32" t="n"/>
    </row>
    <row r="64" ht="106" customHeight="1" s="1">
      <c r="A64" s="32" t="n"/>
      <c r="B64" s="314" t="n"/>
      <c r="C64" s="305" t="n"/>
      <c r="D64" s="315" t="n"/>
      <c r="E64" s="132" t="n"/>
      <c r="F64" s="307" t="n"/>
      <c r="G64" s="307" t="n"/>
      <c r="H64" s="138" t="n"/>
      <c r="I64" s="171" t="n"/>
      <c r="J64" s="308" t="n"/>
      <c r="K64" s="292" t="n"/>
      <c r="L64" s="316" t="n"/>
      <c r="M64" s="173" t="n"/>
      <c r="N64" s="90" t="n"/>
      <c r="O64" s="295" t="n"/>
      <c r="P64" s="296" t="n"/>
      <c r="Q64" s="32" t="n"/>
      <c r="R64" s="32" t="n"/>
      <c r="S64" s="32" t="n"/>
      <c r="T64" s="32" t="n"/>
    </row>
    <row r="65" ht="180" customHeight="1" s="1">
      <c r="A65" s="32" t="n"/>
      <c r="B65" s="317" t="n"/>
      <c r="C65" s="317" t="n"/>
      <c r="D65" s="318" t="n"/>
      <c r="E65" s="176" t="n"/>
      <c r="F65" s="319" t="n"/>
      <c r="G65" s="319" t="n"/>
      <c r="H65" s="176" t="n"/>
      <c r="I65" s="178" t="n"/>
      <c r="J65" s="320" t="n"/>
      <c r="K65" s="292" t="n"/>
      <c r="L65" s="321" t="n"/>
      <c r="M65" s="181" t="n"/>
      <c r="N65" s="90" t="n"/>
      <c r="O65" s="295" t="n"/>
      <c r="P65" s="296" t="n"/>
      <c r="Q65" s="32" t="n"/>
      <c r="R65" s="32" t="n"/>
      <c r="S65" s="32" t="n"/>
      <c r="T65" s="32" t="n"/>
    </row>
    <row r="66" ht="67.5" customHeight="1" s="1">
      <c r="B66" s="317" t="n"/>
      <c r="C66" s="317" t="n"/>
      <c r="D66" s="318" t="n"/>
      <c r="E66" s="176" t="n"/>
      <c r="F66" s="319" t="n"/>
      <c r="G66" s="319" t="n"/>
      <c r="H66" s="291" t="n"/>
      <c r="I66" s="182" t="n"/>
      <c r="J66" s="182" t="n"/>
      <c r="K66" s="292" t="n"/>
      <c r="L66" s="182" t="n"/>
      <c r="M66" s="183" t="n"/>
      <c r="N66" s="90" t="n"/>
      <c r="O66" s="295" t="n"/>
      <c r="P66" s="296" t="n"/>
    </row>
    <row r="67" ht="67.5" customHeight="1" s="1">
      <c r="B67" s="317" t="n"/>
      <c r="C67" s="317" t="n"/>
      <c r="D67" s="318" t="n"/>
      <c r="E67" s="176" t="n"/>
      <c r="F67" s="319" t="n"/>
      <c r="G67" s="319" t="n"/>
      <c r="H67" s="291" t="n"/>
      <c r="I67" s="182" t="n"/>
      <c r="J67" s="182" t="n"/>
      <c r="K67" s="292" t="n"/>
      <c r="L67" s="182" t="n"/>
      <c r="M67" s="183" t="n"/>
      <c r="N67" s="90" t="n"/>
      <c r="O67" s="295" t="n"/>
      <c r="P67" s="296" t="n"/>
    </row>
    <row r="68" ht="67.5" customHeight="1" s="1">
      <c r="B68" s="317" t="n"/>
      <c r="C68" s="317" t="n"/>
      <c r="D68" s="318" t="n"/>
      <c r="E68" s="176" t="n"/>
      <c r="F68" s="319" t="n"/>
      <c r="G68" s="319" t="n"/>
      <c r="H68" s="176" t="n"/>
      <c r="I68" s="182" t="n"/>
      <c r="J68" s="182" t="n"/>
      <c r="K68" s="292" t="n"/>
      <c r="L68" s="182" t="n"/>
      <c r="M68" s="183" t="n"/>
      <c r="N68" s="90" t="n"/>
      <c r="O68" s="295" t="n"/>
      <c r="P68" s="296" t="n"/>
    </row>
    <row r="69" ht="67.5" customHeight="1" s="1">
      <c r="B69" s="317" t="n"/>
      <c r="C69" s="317" t="n"/>
      <c r="D69" s="318" t="n"/>
      <c r="E69" s="176" t="n"/>
      <c r="F69" s="319" t="n"/>
      <c r="G69" s="291" t="n"/>
      <c r="H69" s="291" t="n"/>
      <c r="I69" s="182" t="n"/>
      <c r="J69" s="182" t="n"/>
      <c r="K69" s="292" t="n"/>
      <c r="L69" s="182" t="n"/>
      <c r="M69" s="183" t="n"/>
      <c r="N69" s="90" t="n"/>
      <c r="O69" s="295" t="n"/>
      <c r="P69" s="296" t="n"/>
    </row>
    <row r="70" ht="67.5" customHeight="1" s="1">
      <c r="B70" s="317" t="n"/>
      <c r="C70" s="317" t="n"/>
      <c r="D70" s="318" t="n"/>
      <c r="E70" s="176" t="n"/>
      <c r="F70" s="319" t="n"/>
      <c r="G70" s="291" t="n"/>
      <c r="H70" s="291" t="n"/>
      <c r="I70" s="182" t="n"/>
      <c r="J70" s="182" t="n"/>
      <c r="K70" s="292" t="n"/>
      <c r="L70" s="182" t="n"/>
      <c r="M70" s="183" t="n"/>
      <c r="N70" s="90" t="n"/>
      <c r="O70" s="295" t="n"/>
      <c r="P70" s="296" t="n"/>
    </row>
    <row r="71" ht="45" customHeight="1" s="1">
      <c r="B71" s="317" t="n"/>
      <c r="C71" s="317" t="n"/>
      <c r="D71" s="318" t="n"/>
      <c r="E71" s="176" t="n"/>
      <c r="F71" s="319" t="n"/>
      <c r="G71" s="300" t="n"/>
      <c r="H71" s="300" t="n"/>
      <c r="I71" s="182" t="n"/>
      <c r="J71" s="182" t="n"/>
      <c r="K71" s="360" t="n"/>
      <c r="L71" s="182" t="n"/>
      <c r="M71" s="183" t="n"/>
      <c r="N71" s="183" t="n"/>
      <c r="O71" s="182" t="n"/>
      <c r="P71" s="182" t="n"/>
    </row>
    <row r="72" ht="33.75" customHeight="1" s="1">
      <c r="B72" s="317" t="n"/>
      <c r="C72" s="317" t="n"/>
      <c r="D72" s="318" t="n"/>
      <c r="E72" s="176" t="n"/>
      <c r="F72" s="319" t="n"/>
      <c r="G72" s="319" t="n"/>
      <c r="H72" s="176" t="n"/>
      <c r="I72" s="182" t="n"/>
      <c r="J72" s="182" t="n"/>
      <c r="K72" s="360" t="n"/>
      <c r="L72" s="182" t="n"/>
      <c r="M72" s="183" t="n"/>
      <c r="N72" s="183" t="n"/>
      <c r="O72" s="182" t="n"/>
      <c r="P72" s="182" t="n"/>
    </row>
    <row r="73" ht="33.75" customHeight="1" s="1">
      <c r="B73" s="322" t="n"/>
      <c r="C73" s="322" t="n"/>
      <c r="D73" s="323" t="n"/>
      <c r="E73" s="186" t="n"/>
      <c r="F73" s="324" t="n"/>
      <c r="G73" s="324" t="n"/>
      <c r="H73" s="186" t="n"/>
      <c r="I73" s="182" t="n"/>
      <c r="J73" s="182" t="n"/>
      <c r="K73" s="360" t="n"/>
      <c r="L73" s="182" t="n"/>
      <c r="M73" s="183" t="n"/>
      <c r="N73" s="183" t="n"/>
      <c r="O73" s="182" t="n"/>
      <c r="P73" s="182" t="n"/>
    </row>
    <row r="74" ht="17" customHeight="1" s="1">
      <c r="H74" s="150" t="n"/>
    </row>
    <row r="75" ht="17" customHeight="1" s="1">
      <c r="H75" s="150" t="n"/>
    </row>
    <row r="76" ht="17" customHeight="1" s="1">
      <c r="H76" s="150" t="n"/>
    </row>
    <row r="77" ht="17" customHeight="1" s="1">
      <c r="H77" s="150" t="n"/>
    </row>
    <row r="78" ht="17" customHeight="1" s="1">
      <c r="H78" s="150" t="n"/>
    </row>
    <row r="79" ht="17" customHeight="1" s="1">
      <c r="H79" s="150" t="n"/>
    </row>
    <row r="80" ht="17" customHeight="1" s="1">
      <c r="H80" s="150" t="n"/>
    </row>
    <row r="81" ht="17" customHeight="1" s="1">
      <c r="H81" s="150" t="n"/>
    </row>
    <row r="82" ht="17" customHeight="1" s="1">
      <c r="H82" s="150" t="n"/>
    </row>
    <row r="83" ht="17" customHeight="1" s="1">
      <c r="H83" s="150" t="n"/>
    </row>
    <row r="84" ht="17" customHeight="1" s="1">
      <c r="H84" s="150" t="n"/>
    </row>
    <row r="85" ht="17" customHeight="1" s="1">
      <c r="H85" s="150" t="n"/>
    </row>
    <row r="86" ht="17" customHeight="1" s="1">
      <c r="H86" s="150" t="n"/>
    </row>
    <row r="87" ht="17" customHeight="1" s="1">
      <c r="H87" s="150" t="n"/>
    </row>
    <row r="88" ht="17" customHeight="1" s="1">
      <c r="H88" s="150" t="n"/>
    </row>
    <row r="89" ht="17" customHeight="1" s="1">
      <c r="H89" s="150" t="n"/>
    </row>
    <row r="90" ht="17" customHeight="1" s="1">
      <c r="H90" s="150" t="n"/>
    </row>
    <row r="91" ht="17" customHeight="1" s="1">
      <c r="H91" s="150" t="n"/>
    </row>
    <row r="92" ht="17" customHeight="1" s="1">
      <c r="H92" s="150" t="n"/>
    </row>
    <row r="93" ht="17" customHeight="1" s="1">
      <c r="H93" s="150" t="n"/>
    </row>
    <row r="94" ht="17" customHeight="1" s="1">
      <c r="H94" s="150" t="n"/>
    </row>
    <row r="95" ht="17" customHeight="1" s="1">
      <c r="H95" s="150" t="n"/>
    </row>
    <row r="96" ht="17" customHeight="1" s="1">
      <c r="H96" s="150" t="n"/>
    </row>
    <row r="97" ht="17" customHeight="1" s="1">
      <c r="H97" s="150" t="n"/>
    </row>
    <row r="98" ht="17" customHeight="1" s="1">
      <c r="H98" s="150" t="n"/>
    </row>
    <row r="99" ht="17" customHeight="1" s="1">
      <c r="H99" s="150" t="n"/>
    </row>
    <row r="100" ht="17" customHeight="1" s="1">
      <c r="H100" s="150" t="n"/>
    </row>
    <row r="101" ht="17" customHeight="1" s="1">
      <c r="H101" s="150" t="n"/>
    </row>
    <row r="102" ht="17" customHeight="1" s="1">
      <c r="H102" s="150" t="n"/>
    </row>
    <row r="103" ht="17" customHeight="1" s="1">
      <c r="H103" s="150" t="n"/>
    </row>
    <row r="104" ht="17" customHeight="1" s="1">
      <c r="H104" s="150" t="n"/>
    </row>
    <row r="105" ht="17" customHeight="1" s="1">
      <c r="H105" s="150" t="n"/>
    </row>
    <row r="106" ht="17" customHeight="1" s="1">
      <c r="H106" s="150" t="n"/>
    </row>
    <row r="107" ht="17" customHeight="1" s="1">
      <c r="H107" s="150" t="n"/>
    </row>
    <row r="108" ht="17" customHeight="1" s="1">
      <c r="H108" s="150" t="n"/>
    </row>
    <row r="109" ht="17" customHeight="1" s="1">
      <c r="H109" s="150" t="n"/>
    </row>
    <row r="110" ht="17" customHeight="1" s="1">
      <c r="H110" s="150" t="n"/>
    </row>
    <row r="111" ht="17" customHeight="1" s="1">
      <c r="H111" s="150" t="n"/>
    </row>
    <row r="112" ht="17" customHeight="1" s="1">
      <c r="H112" s="150" t="n"/>
    </row>
    <row r="113" ht="17" customHeight="1" s="1">
      <c r="H113" s="150" t="n"/>
    </row>
    <row r="114" ht="17" customHeight="1" s="1">
      <c r="H114" s="150" t="n"/>
    </row>
    <row r="115" ht="17" customHeight="1" s="1">
      <c r="H115" s="150" t="n"/>
    </row>
    <row r="116" ht="17" customHeight="1" s="1">
      <c r="H116" s="150" t="n"/>
    </row>
    <row r="117" ht="17" customHeight="1" s="1">
      <c r="H117" s="150" t="n"/>
    </row>
    <row r="118" ht="17" customHeight="1" s="1">
      <c r="H118" s="150" t="n"/>
    </row>
    <row r="119" ht="17" customHeight="1" s="1">
      <c r="H119" s="150" t="n"/>
    </row>
    <row r="120" ht="17" customHeight="1" s="1">
      <c r="H120" s="150" t="n"/>
    </row>
    <row r="121" ht="17" customHeight="1" s="1">
      <c r="H121" s="150" t="n"/>
    </row>
    <row r="122" ht="17" customHeight="1" s="1">
      <c r="H122" s="150" t="n"/>
    </row>
    <row r="123" ht="17" customHeight="1" s="1">
      <c r="H123" s="150" t="n"/>
    </row>
    <row r="124" ht="17" customHeight="1" s="1">
      <c r="H124" s="150" t="n"/>
    </row>
    <row r="125" ht="17" customHeight="1" s="1">
      <c r="H125" s="150" t="n"/>
    </row>
    <row r="126" ht="17" customHeight="1" s="1">
      <c r="H126" s="150" t="n"/>
    </row>
    <row r="127" ht="17" customHeight="1" s="1">
      <c r="H127" s="150" t="n"/>
    </row>
    <row r="128" ht="17" customHeight="1" s="1">
      <c r="H128" s="150" t="n"/>
    </row>
    <row r="129" ht="17" customHeight="1" s="1">
      <c r="H129" s="150" t="n"/>
    </row>
    <row r="130" ht="17" customHeight="1" s="1">
      <c r="H130" s="150" t="n"/>
    </row>
    <row r="131" ht="17" customHeight="1" s="1">
      <c r="H131" s="150" t="n"/>
    </row>
    <row r="132" ht="17" customHeight="1" s="1">
      <c r="H132" s="150" t="n"/>
    </row>
    <row r="133" ht="17" customHeight="1" s="1">
      <c r="H133" s="150" t="n"/>
    </row>
    <row r="134" ht="17" customHeight="1" s="1">
      <c r="H134" s="150" t="n"/>
    </row>
    <row r="135" ht="17" customHeight="1" s="1">
      <c r="H135" s="150" t="n"/>
    </row>
    <row r="136" ht="17" customHeight="1" s="1">
      <c r="H136" s="150" t="n"/>
    </row>
    <row r="137" ht="17" customHeight="1" s="1">
      <c r="H137" s="150" t="n"/>
    </row>
    <row r="138" ht="17" customHeight="1" s="1">
      <c r="H138" s="150" t="n"/>
    </row>
    <row r="139" ht="17" customHeight="1" s="1">
      <c r="H139" s="150" t="n"/>
    </row>
    <row r="140" ht="17" customHeight="1" s="1">
      <c r="H140" s="150" t="n"/>
    </row>
    <row r="141" ht="17" customHeight="1" s="1">
      <c r="H141" s="150" t="n"/>
    </row>
    <row r="142" ht="17" customHeight="1" s="1">
      <c r="H142" s="150" t="n"/>
    </row>
    <row r="143" ht="17" customHeight="1" s="1">
      <c r="H143" s="150" t="n"/>
    </row>
    <row r="144" ht="17" customHeight="1" s="1">
      <c r="H144" s="150" t="n"/>
    </row>
    <row r="145" ht="17" customHeight="1" s="1">
      <c r="H145" s="150" t="n"/>
    </row>
    <row r="146" ht="17" customHeight="1" s="1">
      <c r="H146" s="150" t="n"/>
    </row>
    <row r="147" ht="17" customHeight="1" s="1">
      <c r="H147" s="150" t="n"/>
    </row>
    <row r="148" ht="17" customHeight="1" s="1">
      <c r="H148" s="150" t="n"/>
    </row>
    <row r="149" ht="17" customHeight="1" s="1">
      <c r="H149" s="150" t="n"/>
    </row>
    <row r="150" ht="17" customHeight="1" s="1">
      <c r="H150" s="150" t="n"/>
    </row>
    <row r="151" ht="17" customHeight="1" s="1">
      <c r="H151" s="150" t="n"/>
    </row>
    <row r="152" ht="17" customHeight="1" s="1">
      <c r="H152" s="150" t="n"/>
    </row>
    <row r="153" ht="17" customHeight="1" s="1">
      <c r="H153" s="150" t="n"/>
    </row>
    <row r="154" ht="17" customHeight="1" s="1">
      <c r="H154" s="150" t="n"/>
    </row>
    <row r="155" ht="17" customHeight="1" s="1">
      <c r="H155" s="150" t="n"/>
    </row>
    <row r="156" ht="17" customHeight="1" s="1">
      <c r="H156" s="150" t="n"/>
    </row>
    <row r="157" ht="17" customHeight="1" s="1">
      <c r="H157" s="150" t="n"/>
    </row>
    <row r="158" ht="17" customHeight="1" s="1">
      <c r="H158" s="150" t="n"/>
    </row>
    <row r="159" ht="17" customHeight="1" s="1">
      <c r="H159" s="150" t="n"/>
    </row>
    <row r="160" ht="17" customHeight="1" s="1">
      <c r="H160" s="150" t="n"/>
    </row>
    <row r="161" ht="17" customHeight="1" s="1">
      <c r="H161" s="150" t="n"/>
    </row>
    <row r="162" ht="17" customHeight="1" s="1">
      <c r="H162" s="150" t="n"/>
    </row>
    <row r="163" ht="17" customHeight="1" s="1">
      <c r="H163" s="150" t="n"/>
    </row>
    <row r="164" ht="17" customHeight="1" s="1">
      <c r="H164" s="150" t="n"/>
    </row>
    <row r="165" ht="17" customHeight="1" s="1">
      <c r="H165" s="150" t="n"/>
    </row>
    <row r="166" ht="17" customHeight="1" s="1">
      <c r="H166" s="150" t="n"/>
    </row>
    <row r="167" ht="17" customHeight="1" s="1">
      <c r="H167" s="150" t="n"/>
    </row>
    <row r="168" ht="17" customHeight="1" s="1">
      <c r="H168" s="150" t="n"/>
    </row>
    <row r="169" ht="17" customHeight="1" s="1">
      <c r="H169" s="150" t="n"/>
    </row>
    <row r="170" ht="17" customHeight="1" s="1">
      <c r="H170" s="150" t="n"/>
    </row>
    <row r="171" ht="17" customHeight="1" s="1">
      <c r="H171" s="150" t="n"/>
    </row>
    <row r="172" ht="17" customHeight="1" s="1">
      <c r="H172" s="150" t="n"/>
    </row>
    <row r="173" ht="17" customHeight="1" s="1">
      <c r="H173" s="150" t="n"/>
    </row>
    <row r="174" ht="17" customHeight="1" s="1">
      <c r="H174" s="150" t="n"/>
    </row>
    <row r="175" ht="17" customHeight="1" s="1">
      <c r="H175" s="150" t="n"/>
    </row>
    <row r="176" ht="17" customHeight="1" s="1">
      <c r="H176" s="150" t="n"/>
    </row>
    <row r="177" ht="17" customHeight="1" s="1">
      <c r="H177" s="150" t="n"/>
    </row>
    <row r="178" ht="17" customHeight="1" s="1">
      <c r="H178" s="150" t="n"/>
    </row>
    <row r="179" ht="17" customHeight="1" s="1">
      <c r="H179" s="150" t="n"/>
    </row>
    <row r="180" ht="17" customHeight="1" s="1">
      <c r="H180" s="150" t="n"/>
    </row>
    <row r="181" ht="17" customHeight="1" s="1">
      <c r="H181" s="150" t="n"/>
    </row>
    <row r="182" ht="17" customHeight="1" s="1">
      <c r="H182" s="150" t="n"/>
    </row>
    <row r="183" ht="17" customHeight="1" s="1">
      <c r="H183" s="150" t="n"/>
    </row>
    <row r="184" ht="17" customHeight="1" s="1">
      <c r="H184" s="150" t="n"/>
    </row>
    <row r="185" ht="17" customHeight="1" s="1">
      <c r="H185" s="150" t="n"/>
    </row>
    <row r="186" ht="17" customHeight="1" s="1">
      <c r="H186" s="150" t="n"/>
    </row>
    <row r="187" ht="17" customHeight="1" s="1">
      <c r="H187" s="150" t="n"/>
    </row>
    <row r="188" ht="17" customHeight="1" s="1">
      <c r="H188" s="150" t="n"/>
    </row>
    <row r="189" ht="17" customHeight="1" s="1">
      <c r="H189" s="150" t="n"/>
    </row>
    <row r="190" ht="17" customHeight="1" s="1">
      <c r="H190" s="150" t="n"/>
    </row>
    <row r="191" ht="17" customHeight="1" s="1">
      <c r="H191" s="150" t="n"/>
    </row>
    <row r="192" ht="17" customHeight="1" s="1">
      <c r="H192" s="150" t="n"/>
    </row>
    <row r="193" ht="17" customHeight="1" s="1">
      <c r="H193" s="150" t="n"/>
    </row>
    <row r="194" ht="17" customHeight="1" s="1">
      <c r="H194" s="150" t="n"/>
    </row>
    <row r="195" ht="17" customHeight="1" s="1">
      <c r="H195" s="150" t="n"/>
    </row>
    <row r="196" ht="17" customHeight="1" s="1">
      <c r="H196" s="150" t="n"/>
    </row>
    <row r="197" ht="17" customHeight="1" s="1">
      <c r="H197" s="150" t="n"/>
    </row>
    <row r="198" ht="17" customHeight="1" s="1">
      <c r="H198" s="150" t="n"/>
    </row>
    <row r="199" ht="17" customHeight="1" s="1">
      <c r="H199" s="150" t="n"/>
    </row>
    <row r="200" ht="17" customHeight="1" s="1">
      <c r="H200" s="150" t="n"/>
    </row>
    <row r="201" ht="17" customHeight="1" s="1">
      <c r="H201" s="150" t="n"/>
    </row>
    <row r="202" ht="17" customHeight="1" s="1">
      <c r="H202" s="150" t="n"/>
    </row>
  </sheetData>
  <autoFilter ref="B13:P68">
    <sortState ref="B13:P68">
      <sortCondition ref="B13"/>
    </sortState>
  </autoFilter>
  <mergeCells count="11">
    <mergeCell ref="F13:F14"/>
    <mergeCell ref="J13:J14"/>
    <mergeCell ref="H13:H14"/>
    <mergeCell ref="B2:C3"/>
    <mergeCell ref="B13:B14"/>
    <mergeCell ref="E13:E14"/>
    <mergeCell ref="D13:D14"/>
    <mergeCell ref="I13:I14"/>
    <mergeCell ref="K13:P13"/>
    <mergeCell ref="G13:G14"/>
    <mergeCell ref="C13:C14"/>
  </mergeCells>
  <conditionalFormatting sqref="E15">
    <cfRule type="expression" priority="54" dxfId="0" stopIfTrue="1">
      <formula>#REF!="变更删除"</formula>
    </cfRule>
    <cfRule type="expression" priority="55" dxfId="1" stopIfTrue="1">
      <formula>#REF!="删除"</formula>
    </cfRule>
  </conditionalFormatting>
  <conditionalFormatting sqref="K15">
    <cfRule type="cellIs" priority="56" operator="equal" dxfId="2" stopIfTrue="1">
      <formula>#REF!</formula>
    </cfRule>
  </conditionalFormatting>
  <conditionalFormatting sqref="B16">
    <cfRule type="expression" priority="57" dxfId="0" stopIfTrue="1">
      <formula>#REF!="变更删除"</formula>
    </cfRule>
    <cfRule type="expression" priority="58" dxfId="1" stopIfTrue="1">
      <formula>#REF!="删除"</formula>
    </cfRule>
  </conditionalFormatting>
  <conditionalFormatting sqref="H16">
    <cfRule type="expression" priority="59" dxfId="0" stopIfTrue="1">
      <formula>#REF!="变更删除"</formula>
    </cfRule>
    <cfRule type="expression" priority="60" dxfId="1" stopIfTrue="1">
      <formula>#REF!="删除"</formula>
    </cfRule>
  </conditionalFormatting>
  <conditionalFormatting sqref="K16">
    <cfRule type="cellIs" priority="61" operator="equal" dxfId="2" stopIfTrue="1">
      <formula>#REF!</formula>
    </cfRule>
  </conditionalFormatting>
  <conditionalFormatting sqref="E17">
    <cfRule type="expression" priority="62" dxfId="0" stopIfTrue="1">
      <formula>#REF!="变更删除"</formula>
    </cfRule>
    <cfRule type="expression" priority="63" dxfId="1" stopIfTrue="1">
      <formula>#REF!="删除"</formula>
    </cfRule>
  </conditionalFormatting>
  <conditionalFormatting sqref="F17">
    <cfRule type="expression" priority="64" dxfId="0" stopIfTrue="1">
      <formula>#REF!="变更删除"</formula>
    </cfRule>
    <cfRule type="expression" priority="65" dxfId="1" stopIfTrue="1">
      <formula>#REF!="删除"</formula>
    </cfRule>
  </conditionalFormatting>
  <conditionalFormatting sqref="H17">
    <cfRule type="expression" priority="66" dxfId="0" stopIfTrue="1">
      <formula>#REF!="变更删除"</formula>
    </cfRule>
    <cfRule type="expression" priority="67" dxfId="1" stopIfTrue="1">
      <formula>#REF!="删除"</formula>
    </cfRule>
  </conditionalFormatting>
  <conditionalFormatting sqref="K17">
    <cfRule type="cellIs" priority="68" operator="equal" dxfId="2" stopIfTrue="1">
      <formula>#REF!</formula>
    </cfRule>
  </conditionalFormatting>
  <conditionalFormatting sqref="E18">
    <cfRule type="expression" priority="69" dxfId="0" stopIfTrue="1">
      <formula>#REF!="变更删除"</formula>
    </cfRule>
    <cfRule type="expression" priority="70" dxfId="1" stopIfTrue="1">
      <formula>#REF!="删除"</formula>
    </cfRule>
  </conditionalFormatting>
  <conditionalFormatting sqref="K18">
    <cfRule type="cellIs" priority="71" operator="equal" dxfId="2" stopIfTrue="1">
      <formula>#REF!</formula>
    </cfRule>
  </conditionalFormatting>
  <conditionalFormatting sqref="B19">
    <cfRule type="expression" priority="72" dxfId="0" stopIfTrue="1">
      <formula>#REF!="变更删除"</formula>
    </cfRule>
    <cfRule type="expression" priority="73" dxfId="1" stopIfTrue="1">
      <formula>#REF!="删除"</formula>
    </cfRule>
  </conditionalFormatting>
  <conditionalFormatting sqref="H19">
    <cfRule type="expression" priority="74" dxfId="0" stopIfTrue="1">
      <formula>#REF!="变更删除"</formula>
    </cfRule>
    <cfRule type="expression" priority="75" dxfId="1" stopIfTrue="1">
      <formula>#REF!="删除"</formula>
    </cfRule>
  </conditionalFormatting>
  <conditionalFormatting sqref="K19">
    <cfRule type="cellIs" priority="76" operator="equal" dxfId="2" stopIfTrue="1">
      <formula>#REF!</formula>
    </cfRule>
  </conditionalFormatting>
  <conditionalFormatting sqref="C20:D20">
    <cfRule type="expression" priority="77" dxfId="0" stopIfTrue="1">
      <formula>#REF!="变更删除"</formula>
    </cfRule>
    <cfRule type="expression" priority="78" dxfId="1" stopIfTrue="1">
      <formula>#REF!="删除"</formula>
    </cfRule>
  </conditionalFormatting>
  <conditionalFormatting sqref="E20">
    <cfRule type="expression" priority="79" dxfId="0" stopIfTrue="1">
      <formula>#REF!="变更删除"</formula>
    </cfRule>
    <cfRule type="expression" priority="80" dxfId="1" stopIfTrue="1">
      <formula>#REF!="删除"</formula>
    </cfRule>
  </conditionalFormatting>
  <conditionalFormatting sqref="F20">
    <cfRule type="expression" priority="81" dxfId="0" stopIfTrue="1">
      <formula>#REF!="变更删除"</formula>
    </cfRule>
    <cfRule type="expression" priority="82" dxfId="1" stopIfTrue="1">
      <formula>#REF!="删除"</formula>
    </cfRule>
  </conditionalFormatting>
  <conditionalFormatting sqref="G20">
    <cfRule type="expression" priority="83" dxfId="0" stopIfTrue="1">
      <formula>#REF!="变更删除"</formula>
    </cfRule>
    <cfRule type="expression" priority="84" dxfId="1" stopIfTrue="1">
      <formula>#REF!="删除"</formula>
    </cfRule>
  </conditionalFormatting>
  <conditionalFormatting sqref="H20">
    <cfRule type="expression" priority="85" dxfId="0" stopIfTrue="1">
      <formula>#REF!="变更删除"</formula>
    </cfRule>
    <cfRule type="expression" priority="86" dxfId="1" stopIfTrue="1">
      <formula>#REF!="删除"</formula>
    </cfRule>
  </conditionalFormatting>
  <conditionalFormatting sqref="K20">
    <cfRule type="cellIs" priority="87" operator="equal" dxfId="2" stopIfTrue="1">
      <formula>#REF!</formula>
    </cfRule>
  </conditionalFormatting>
  <conditionalFormatting sqref="B21">
    <cfRule type="expression" priority="88" dxfId="0" stopIfTrue="1">
      <formula>#REF!="变更删除"</formula>
    </cfRule>
    <cfRule type="expression" priority="89" dxfId="1" stopIfTrue="1">
      <formula>#REF!="删除"</formula>
    </cfRule>
  </conditionalFormatting>
  <conditionalFormatting sqref="K21">
    <cfRule type="cellIs" priority="90" operator="equal" dxfId="2" stopIfTrue="1">
      <formula>#REF!</formula>
    </cfRule>
  </conditionalFormatting>
  <conditionalFormatting sqref="B22">
    <cfRule type="expression" priority="133" dxfId="0" stopIfTrue="1">
      <formula>#REF!="变更删除"</formula>
    </cfRule>
    <cfRule type="expression" priority="134" dxfId="1" stopIfTrue="1">
      <formula>#REF!="删除"</formula>
    </cfRule>
  </conditionalFormatting>
  <conditionalFormatting sqref="H22">
    <cfRule type="expression" priority="91" dxfId="0" stopIfTrue="1">
      <formula>#REF!="变更删除"</formula>
    </cfRule>
    <cfRule type="expression" priority="92" dxfId="1" stopIfTrue="1">
      <formula>#REF!="删除"</formula>
    </cfRule>
  </conditionalFormatting>
  <conditionalFormatting sqref="K22">
    <cfRule type="cellIs" priority="93" operator="equal" dxfId="2" stopIfTrue="1">
      <formula>#REF!</formula>
    </cfRule>
  </conditionalFormatting>
  <conditionalFormatting sqref="E23">
    <cfRule type="expression" priority="174" dxfId="0" stopIfTrue="1">
      <formula>#REF!="变更删除"</formula>
    </cfRule>
    <cfRule type="expression" priority="175" dxfId="1" stopIfTrue="1">
      <formula>#REF!="删除"</formula>
    </cfRule>
  </conditionalFormatting>
  <conditionalFormatting sqref="G23">
    <cfRule type="expression" priority="176" dxfId="0" stopIfTrue="1">
      <formula>#REF!="变更删除"</formula>
    </cfRule>
    <cfRule type="expression" priority="177" dxfId="1" stopIfTrue="1">
      <formula>#REF!="删除"</formula>
    </cfRule>
  </conditionalFormatting>
  <conditionalFormatting sqref="H23">
    <cfRule type="expression" priority="178" dxfId="0" stopIfTrue="1">
      <formula>#REF!="变更删除"</formula>
    </cfRule>
    <cfRule type="expression" priority="179" dxfId="1" stopIfTrue="1">
      <formula>#REF!="删除"</formula>
    </cfRule>
  </conditionalFormatting>
  <conditionalFormatting sqref="K23">
    <cfRule type="cellIs" priority="94" operator="equal" dxfId="2" stopIfTrue="1">
      <formula>#REF!</formula>
    </cfRule>
  </conditionalFormatting>
  <conditionalFormatting sqref="E24">
    <cfRule type="expression" priority="95" dxfId="0" stopIfTrue="1">
      <formula>#REF!="变更删除"</formula>
    </cfRule>
    <cfRule type="expression" priority="96" dxfId="1" stopIfTrue="1">
      <formula>#REF!="删除"</formula>
    </cfRule>
  </conditionalFormatting>
  <conditionalFormatting sqref="F24">
    <cfRule type="expression" priority="97" dxfId="0" stopIfTrue="1">
      <formula>#REF!="变更删除"</formula>
    </cfRule>
    <cfRule type="expression" priority="98" dxfId="1" stopIfTrue="1">
      <formula>#REF!="删除"</formula>
    </cfRule>
  </conditionalFormatting>
  <conditionalFormatting sqref="G24">
    <cfRule type="expression" priority="99" dxfId="0" stopIfTrue="1">
      <formula>#REF!="变更删除"</formula>
    </cfRule>
    <cfRule type="expression" priority="100" dxfId="1" stopIfTrue="1">
      <formula>#REF!="删除"</formula>
    </cfRule>
  </conditionalFormatting>
  <conditionalFormatting sqref="H24">
    <cfRule type="expression" priority="101" dxfId="0" stopIfTrue="1">
      <formula>#REF!="变更删除"</formula>
    </cfRule>
    <cfRule type="expression" priority="102" dxfId="1" stopIfTrue="1">
      <formula>#REF!="删除"</formula>
    </cfRule>
  </conditionalFormatting>
  <conditionalFormatting sqref="K24">
    <cfRule type="cellIs" priority="103" operator="equal" dxfId="2" stopIfTrue="1">
      <formula>#REF!</formula>
    </cfRule>
  </conditionalFormatting>
  <conditionalFormatting sqref="K25">
    <cfRule type="cellIs" priority="104" operator="equal" dxfId="2" stopIfTrue="1">
      <formula>#REF!</formula>
    </cfRule>
  </conditionalFormatting>
  <conditionalFormatting sqref="K26">
    <cfRule type="cellIs" priority="105" operator="equal" dxfId="2" stopIfTrue="1">
      <formula>#REF!</formula>
    </cfRule>
  </conditionalFormatting>
  <conditionalFormatting sqref="K27">
    <cfRule type="cellIs" priority="106" operator="equal" dxfId="2" stopIfTrue="1">
      <formula>#REF!</formula>
    </cfRule>
  </conditionalFormatting>
  <conditionalFormatting sqref="K28">
    <cfRule type="cellIs" priority="107" operator="equal" dxfId="2" stopIfTrue="1">
      <formula>#REF!</formula>
    </cfRule>
  </conditionalFormatting>
  <conditionalFormatting sqref="K29">
    <cfRule type="cellIs" priority="108" operator="equal" dxfId="2" stopIfTrue="1">
      <formula>#REF!</formula>
    </cfRule>
  </conditionalFormatting>
  <conditionalFormatting sqref="K30">
    <cfRule type="cellIs" priority="109" operator="equal" dxfId="2" stopIfTrue="1">
      <formula>#REF!</formula>
    </cfRule>
  </conditionalFormatting>
  <conditionalFormatting sqref="K31">
    <cfRule type="cellIs" priority="110" operator="equal" dxfId="2" stopIfTrue="1">
      <formula>#REF!</formula>
    </cfRule>
  </conditionalFormatting>
  <conditionalFormatting sqref="K35">
    <cfRule type="cellIs" priority="112" operator="equal" dxfId="2" stopIfTrue="1">
      <formula>#REF!</formula>
    </cfRule>
  </conditionalFormatting>
  <conditionalFormatting sqref="K36">
    <cfRule type="cellIs" priority="113" operator="equal" dxfId="2" stopIfTrue="1">
      <formula>#REF!</formula>
    </cfRule>
  </conditionalFormatting>
  <conditionalFormatting sqref="K37">
    <cfRule type="cellIs" priority="2" operator="equal" dxfId="2" stopIfTrue="1">
      <formula>#REF!</formula>
    </cfRule>
  </conditionalFormatting>
  <conditionalFormatting sqref="E38">
    <cfRule type="expression" priority="137" dxfId="0" stopIfTrue="1">
      <formula>#REF!="变更删除"</formula>
    </cfRule>
    <cfRule type="expression" priority="138" dxfId="1" stopIfTrue="1">
      <formula>#REF!="删除"</formula>
    </cfRule>
  </conditionalFormatting>
  <conditionalFormatting sqref="F38">
    <cfRule type="expression" priority="139" dxfId="0" stopIfTrue="1">
      <formula>#REF!="变更删除"</formula>
    </cfRule>
    <cfRule type="expression" priority="140" dxfId="1" stopIfTrue="1">
      <formula>#REF!="删除"</formula>
    </cfRule>
  </conditionalFormatting>
  <conditionalFormatting sqref="K38">
    <cfRule type="cellIs" priority="3" operator="equal" dxfId="2" stopIfTrue="1">
      <formula>#REF!</formula>
    </cfRule>
  </conditionalFormatting>
  <conditionalFormatting sqref="K39">
    <cfRule type="cellIs" priority="4" operator="equal" dxfId="2" stopIfTrue="1">
      <formula>#REF!</formula>
    </cfRule>
  </conditionalFormatting>
  <conditionalFormatting sqref="K40">
    <cfRule type="cellIs" priority="5" operator="equal" dxfId="2" stopIfTrue="1">
      <formula>#REF!</formula>
    </cfRule>
  </conditionalFormatting>
  <conditionalFormatting sqref="K41">
    <cfRule type="cellIs" priority="118" operator="equal" dxfId="2" stopIfTrue="1">
      <formula>#REF!</formula>
    </cfRule>
  </conditionalFormatting>
  <conditionalFormatting sqref="K42">
    <cfRule type="cellIs" priority="119" operator="equal" dxfId="2" stopIfTrue="1">
      <formula>#REF!</formula>
    </cfRule>
  </conditionalFormatting>
  <conditionalFormatting sqref="K43">
    <cfRule type="cellIs" priority="120" operator="equal" dxfId="2" stopIfTrue="1">
      <formula>#REF!</formula>
    </cfRule>
  </conditionalFormatting>
  <conditionalFormatting sqref="K45">
    <cfRule type="cellIs" priority="121" operator="equal" dxfId="2" stopIfTrue="1">
      <formula>#REF!</formula>
    </cfRule>
  </conditionalFormatting>
  <conditionalFormatting sqref="K46">
    <cfRule type="cellIs" priority="6" operator="equal" dxfId="2" stopIfTrue="1">
      <formula>#REF!</formula>
    </cfRule>
  </conditionalFormatting>
  <conditionalFormatting sqref="K47">
    <cfRule type="cellIs" priority="7" operator="equal" dxfId="2" stopIfTrue="1">
      <formula>#REF!</formula>
    </cfRule>
  </conditionalFormatting>
  <conditionalFormatting sqref="K48">
    <cfRule type="cellIs" priority="8" operator="equal" dxfId="2" stopIfTrue="1">
      <formula>#REF!</formula>
    </cfRule>
  </conditionalFormatting>
  <conditionalFormatting sqref="K49">
    <cfRule type="cellIs" priority="9" operator="equal" dxfId="2" stopIfTrue="1">
      <formula>#REF!</formula>
    </cfRule>
  </conditionalFormatting>
  <conditionalFormatting sqref="K50">
    <cfRule type="cellIs" priority="124" operator="equal" dxfId="2" stopIfTrue="1">
      <formula>#REF!</formula>
    </cfRule>
  </conditionalFormatting>
  <conditionalFormatting sqref="K51">
    <cfRule type="cellIs" priority="1" operator="equal" dxfId="2" stopIfTrue="1">
      <formula>#REF!</formula>
    </cfRule>
  </conditionalFormatting>
  <conditionalFormatting sqref="K52">
    <cfRule type="cellIs" priority="125" operator="equal" dxfId="2" stopIfTrue="1">
      <formula>#REF!</formula>
    </cfRule>
  </conditionalFormatting>
  <conditionalFormatting sqref="K58">
    <cfRule type="cellIs" priority="23" operator="equal" dxfId="2" stopIfTrue="1">
      <formula>#REF!</formula>
    </cfRule>
  </conditionalFormatting>
  <conditionalFormatting sqref="K59">
    <cfRule type="cellIs" priority="22" operator="equal" dxfId="2" stopIfTrue="1">
      <formula>#REF!</formula>
    </cfRule>
  </conditionalFormatting>
  <conditionalFormatting sqref="K60">
    <cfRule type="cellIs" priority="21" operator="equal" dxfId="2" stopIfTrue="1">
      <formula>#REF!</formula>
    </cfRule>
  </conditionalFormatting>
  <conditionalFormatting sqref="K61">
    <cfRule type="cellIs" priority="20" operator="equal" dxfId="2" stopIfTrue="1">
      <formula>#REF!</formula>
    </cfRule>
  </conditionalFormatting>
  <conditionalFormatting sqref="K62">
    <cfRule type="cellIs" priority="18" operator="equal" dxfId="2" stopIfTrue="1">
      <formula>#REF!</formula>
    </cfRule>
  </conditionalFormatting>
  <conditionalFormatting sqref="K63">
    <cfRule type="cellIs" priority="17" operator="equal" dxfId="2" stopIfTrue="1">
      <formula>#REF!</formula>
    </cfRule>
  </conditionalFormatting>
  <conditionalFormatting sqref="K64">
    <cfRule type="cellIs" priority="16" operator="equal" dxfId="2" stopIfTrue="1">
      <formula>#REF!</formula>
    </cfRule>
  </conditionalFormatting>
  <conditionalFormatting sqref="K65">
    <cfRule type="cellIs" priority="15" operator="equal" dxfId="2" stopIfTrue="1">
      <formula>#REF!</formula>
    </cfRule>
  </conditionalFormatting>
  <conditionalFormatting sqref="K66">
    <cfRule type="cellIs" priority="14" operator="equal" dxfId="2" stopIfTrue="1">
      <formula>#REF!</formula>
    </cfRule>
  </conditionalFormatting>
  <conditionalFormatting sqref="K67">
    <cfRule type="cellIs" priority="13" operator="equal" dxfId="2" stopIfTrue="1">
      <formula>#REF!</formula>
    </cfRule>
  </conditionalFormatting>
  <conditionalFormatting sqref="K68">
    <cfRule type="cellIs" priority="12" operator="equal" dxfId="2" stopIfTrue="1">
      <formula>#REF!</formula>
    </cfRule>
  </conditionalFormatting>
  <conditionalFormatting sqref="K69">
    <cfRule type="cellIs" priority="11" operator="equal" dxfId="2" stopIfTrue="1">
      <formula>#REF!</formula>
    </cfRule>
  </conditionalFormatting>
  <conditionalFormatting sqref="K70">
    <cfRule type="cellIs" priority="10" operator="equal" dxfId="2" stopIfTrue="1">
      <formula>#REF!</formula>
    </cfRule>
  </conditionalFormatting>
  <conditionalFormatting sqref="K71">
    <cfRule type="cellIs" priority="29" operator="equal" dxfId="2" stopIfTrue="1">
      <formula>#REF!</formula>
    </cfRule>
  </conditionalFormatting>
  <conditionalFormatting sqref="N71">
    <cfRule type="cellIs" priority="28" operator="equal" dxfId="2" stopIfTrue="1">
      <formula>#REF!</formula>
    </cfRule>
  </conditionalFormatting>
  <conditionalFormatting sqref="K72">
    <cfRule type="cellIs" priority="27" operator="equal" dxfId="2" stopIfTrue="1">
      <formula>#REF!</formula>
    </cfRule>
  </conditionalFormatting>
  <conditionalFormatting sqref="N72">
    <cfRule type="cellIs" priority="26" operator="equal" dxfId="2" stopIfTrue="1">
      <formula>#REF!</formula>
    </cfRule>
  </conditionalFormatting>
  <conditionalFormatting sqref="K73">
    <cfRule type="cellIs" priority="25" operator="equal" dxfId="2" stopIfTrue="1">
      <formula>#REF!</formula>
    </cfRule>
  </conditionalFormatting>
  <conditionalFormatting sqref="N73">
    <cfRule type="cellIs" priority="24" operator="equal" dxfId="2" stopIfTrue="1">
      <formula>#REF!</formula>
    </cfRule>
  </conditionalFormatting>
  <conditionalFormatting sqref="E25:E30">
    <cfRule type="expression" priority="135" dxfId="0" stopIfTrue="1">
      <formula>#REF!="变更删除"</formula>
    </cfRule>
    <cfRule type="expression" priority="136" dxfId="1" stopIfTrue="1">
      <formula>#REF!="删除"</formula>
    </cfRule>
  </conditionalFormatting>
  <conditionalFormatting sqref="F15:F16">
    <cfRule type="expression" priority="156" dxfId="0" stopIfTrue="1">
      <formula>#REF!="变更删除"</formula>
    </cfRule>
    <cfRule type="expression" priority="157" dxfId="1" stopIfTrue="1">
      <formula>#REF!="删除"</formula>
    </cfRule>
  </conditionalFormatting>
  <conditionalFormatting sqref="F25:F30">
    <cfRule type="expression" priority="182" dxfId="0" stopIfTrue="1">
      <formula>#REF!="变更删除"</formula>
    </cfRule>
    <cfRule type="expression" priority="183" dxfId="1" stopIfTrue="1">
      <formula>#REF!="删除"</formula>
    </cfRule>
  </conditionalFormatting>
  <conditionalFormatting sqref="G25:G30">
    <cfRule type="expression" priority="141" dxfId="0" stopIfTrue="1">
      <formula>#REF!="变更删除"</formula>
    </cfRule>
    <cfRule type="expression" priority="142" dxfId="1" stopIfTrue="1">
      <formula>#REF!="删除"</formula>
    </cfRule>
  </conditionalFormatting>
  <conditionalFormatting sqref="H25:H30">
    <cfRule type="expression" priority="143" dxfId="0" stopIfTrue="1">
      <formula>#REF!="变更删除"</formula>
    </cfRule>
    <cfRule type="expression" priority="144" dxfId="1" stopIfTrue="1">
      <formula>#REF!="删除"</formula>
    </cfRule>
  </conditionalFormatting>
  <conditionalFormatting sqref="I15:I20">
    <cfRule type="expression" priority="152" dxfId="0" stopIfTrue="1">
      <formula>#REF!="变更删除"</formula>
    </cfRule>
    <cfRule type="expression" priority="153" dxfId="1" stopIfTrue="1">
      <formula>#REF!="删除"</formula>
    </cfRule>
  </conditionalFormatting>
  <conditionalFormatting sqref="K32:K34">
    <cfRule type="cellIs" priority="111" operator="equal" dxfId="2" stopIfTrue="1">
      <formula>#REF!</formula>
    </cfRule>
  </conditionalFormatting>
  <conditionalFormatting sqref="K53:K57">
    <cfRule type="cellIs" priority="126" operator="equal" dxfId="2" stopIfTrue="1">
      <formula>#REF!</formula>
    </cfRule>
  </conditionalFormatting>
  <conditionalFormatting sqref="N15:N70">
    <cfRule type="cellIs" priority="38" operator="equal" dxfId="2" stopIfTrue="1">
      <formula>#REF!</formula>
    </cfRule>
  </conditionalFormatting>
  <conditionalFormatting sqref="K13:K14 M14:P14">
    <cfRule type="cellIs" priority="145" operator="equal" dxfId="3" stopIfTrue="1">
      <formula>"BLOCK"</formula>
    </cfRule>
    <cfRule type="cellIs" priority="146" operator="equal" dxfId="4" stopIfTrue="1">
      <formula>"NG"</formula>
    </cfRule>
    <cfRule type="cellIs" priority="147" operator="equal" dxfId="5" stopIfTrue="1">
      <formula>"OK"</formula>
    </cfRule>
  </conditionalFormatting>
  <conditionalFormatting sqref="B15:D15 C16:E16">
    <cfRule type="expression" priority="154" dxfId="0" stopIfTrue="1">
      <formula>#REF!="变更删除"</formula>
    </cfRule>
    <cfRule type="expression" priority="155" dxfId="1" stopIfTrue="1">
      <formula>#REF!="删除"</formula>
    </cfRule>
  </conditionalFormatting>
  <conditionalFormatting sqref="G16 H15">
    <cfRule type="expression" priority="158" dxfId="0" stopIfTrue="1">
      <formula>#REF!="变更删除"</formula>
    </cfRule>
    <cfRule type="expression" priority="159" dxfId="1" stopIfTrue="1">
      <formula>#REF!="删除"</formula>
    </cfRule>
  </conditionalFormatting>
  <conditionalFormatting sqref="G15 G17:G18">
    <cfRule type="expression" priority="150" dxfId="0" stopIfTrue="1">
      <formula>#REF!="变更删除"</formula>
    </cfRule>
    <cfRule type="expression" priority="151" dxfId="1" stopIfTrue="1">
      <formula>#REF!="删除"</formula>
    </cfRule>
  </conditionalFormatting>
  <conditionalFormatting sqref="B17:C17 B20 B23:B34">
    <cfRule type="expression" priority="148" dxfId="0" stopIfTrue="1">
      <formula>#REF!="变更删除"</formula>
    </cfRule>
    <cfRule type="expression" priority="149" dxfId="1" stopIfTrue="1">
      <formula>#REF!="删除"</formula>
    </cfRule>
  </conditionalFormatting>
  <conditionalFormatting sqref="B18:D18 C19:E19">
    <cfRule type="expression" priority="160" dxfId="0" stopIfTrue="1">
      <formula>#REF!="变更删除"</formula>
    </cfRule>
    <cfRule type="expression" priority="161" dxfId="1" stopIfTrue="1">
      <formula>#REF!="删除"</formula>
    </cfRule>
  </conditionalFormatting>
  <conditionalFormatting sqref="F18:F19 F22">
    <cfRule type="expression" priority="162" dxfId="0" stopIfTrue="1">
      <formula>#REF!="变更删除"</formula>
    </cfRule>
    <cfRule type="expression" priority="163" dxfId="1" stopIfTrue="1">
      <formula>#REF!="删除"</formula>
    </cfRule>
  </conditionalFormatting>
  <conditionalFormatting sqref="G19 H18">
    <cfRule type="expression" priority="164" dxfId="0" stopIfTrue="1">
      <formula>#REF!="变更删除"</formula>
    </cfRule>
    <cfRule type="expression" priority="165" dxfId="1" stopIfTrue="1">
      <formula>#REF!="删除"</formula>
    </cfRule>
  </conditionalFormatting>
  <conditionalFormatting sqref="C21:E22">
    <cfRule type="expression" priority="166" dxfId="0" stopIfTrue="1">
      <formula>#REF!="变更删除"</formula>
    </cfRule>
    <cfRule type="expression" priority="167" dxfId="1" stopIfTrue="1">
      <formula>#REF!="删除"</formula>
    </cfRule>
  </conditionalFormatting>
  <conditionalFormatting sqref="G21:H21 G22">
    <cfRule type="expression" priority="168" dxfId="0" stopIfTrue="1">
      <formula>#REF!="变更删除"</formula>
    </cfRule>
    <cfRule type="expression" priority="169" dxfId="1" stopIfTrue="1">
      <formula>#REF!="删除"</formula>
    </cfRule>
  </conditionalFormatting>
  <conditionalFormatting sqref="I21:J22">
    <cfRule type="expression" priority="170" dxfId="0" stopIfTrue="1">
      <formula>#REF!="变更删除"</formula>
    </cfRule>
    <cfRule type="expression" priority="171" dxfId="1" stopIfTrue="1">
      <formula>#REF!="删除"</formula>
    </cfRule>
  </conditionalFormatting>
  <conditionalFormatting sqref="C23:D26">
    <cfRule type="expression" priority="172" dxfId="0" stopIfTrue="1">
      <formula>#REF!="变更删除"</formula>
    </cfRule>
    <cfRule type="expression" priority="173" dxfId="1" stopIfTrue="1">
      <formula>#REF!="删除"</formula>
    </cfRule>
  </conditionalFormatting>
  <conditionalFormatting sqref="I23:J30">
    <cfRule type="expression" priority="180" dxfId="0" stopIfTrue="1">
      <formula>#REF!="变更删除"</formula>
    </cfRule>
    <cfRule type="expression" priority="181" dxfId="1" stopIfTrue="1">
      <formula>#REF!="删除"</formula>
    </cfRule>
  </conditionalFormatting>
  <conditionalFormatting sqref="C27:D28">
    <cfRule type="expression" priority="184" dxfId="0" stopIfTrue="1">
      <formula>#REF!="变更删除"</formula>
    </cfRule>
    <cfRule type="expression" priority="185" dxfId="1" stopIfTrue="1">
      <formula>#REF!="删除"</formula>
    </cfRule>
  </conditionalFormatting>
  <conditionalFormatting sqref="C29:D30">
    <cfRule type="expression" priority="186" dxfId="0" stopIfTrue="1">
      <formula>#REF!="变更删除"</formula>
    </cfRule>
    <cfRule type="expression" priority="187" dxfId="1" stopIfTrue="1">
      <formula>#REF!="删除"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4"/>
  <sheetViews>
    <sheetView topLeftCell="C33" workbookViewId="0">
      <selection activeCell="L23" sqref="H22:L23"/>
    </sheetView>
  </sheetViews>
  <sheetFormatPr baseColWidth="8" defaultColWidth="8.888888888888889" defaultRowHeight="14.25"/>
  <cols>
    <col width="22.6666666666667" customWidth="1" style="1" min="2" max="2"/>
    <col width="18.2222222222222" customWidth="1" style="1" min="3" max="3"/>
    <col width="19.4444444444444" customWidth="1" style="1" min="4" max="4"/>
    <col width="23.3333333333333" customWidth="1" style="1" min="5" max="5"/>
    <col width="30" customWidth="1" style="1" min="6" max="6"/>
    <col width="30.7777777777778" customWidth="1" style="1" min="7" max="7"/>
    <col width="38" customWidth="1" style="1" min="12" max="12"/>
    <col width="20.2222222222222" customWidth="1" style="1" min="13" max="13"/>
  </cols>
  <sheetData>
    <row r="1">
      <c r="A1" s="270" t="inlineStr">
        <is>
          <t>功能测试</t>
        </is>
      </c>
      <c r="B1" s="64" t="n"/>
    </row>
    <row r="2">
      <c r="A2" s="67" t="n"/>
      <c r="B2" s="68" t="n"/>
    </row>
    <row r="3">
      <c r="A3" s="275" t="inlineStr">
        <is>
          <t>Total</t>
        </is>
      </c>
      <c r="B3" s="276">
        <f>COUNTA(A14:A34)</f>
        <v/>
      </c>
    </row>
    <row r="4">
      <c r="A4" s="275" t="inlineStr">
        <is>
          <t>Pass</t>
        </is>
      </c>
      <c r="B4" s="276">
        <f>COUNTIF(J12:J722,A4)</f>
        <v/>
      </c>
    </row>
    <row r="5">
      <c r="A5" s="275" t="inlineStr">
        <is>
          <t>Fail</t>
        </is>
      </c>
      <c r="B5" s="276">
        <f>COUNTIF(J12:J722,A5)</f>
        <v/>
      </c>
    </row>
    <row r="6">
      <c r="A6" s="275" t="inlineStr">
        <is>
          <t>NT</t>
        </is>
      </c>
      <c r="B6" s="276" t="n">
        <v>0</v>
      </c>
    </row>
    <row r="7">
      <c r="A7" s="275" t="inlineStr">
        <is>
          <t>BLOCK</t>
        </is>
      </c>
      <c r="B7" s="276">
        <f>COUNTIF(J12:J722,A7)</f>
        <v/>
      </c>
    </row>
    <row r="8">
      <c r="A8" s="275" t="inlineStr">
        <is>
          <t>NA</t>
        </is>
      </c>
      <c r="B8" s="276">
        <f>COUNTIF(J12:J722,A8)</f>
        <v/>
      </c>
    </row>
    <row r="9">
      <c r="A9" s="275" t="inlineStr">
        <is>
          <t>Pass率</t>
        </is>
      </c>
      <c r="B9" s="279">
        <f>IFERROR(B4/(B3-B6-B8),"")</f>
        <v/>
      </c>
    </row>
    <row r="10" ht="15" customHeight="1" s="1">
      <c r="A10" s="280" t="inlineStr">
        <is>
          <t>Fail率</t>
        </is>
      </c>
      <c r="B10" s="281">
        <f>IFERROR(B5/(B3-B6-B8),"")</f>
        <v/>
      </c>
    </row>
    <row r="11" ht="15" customHeight="1" s="1"/>
    <row r="12" ht="15" customHeight="1" s="1">
      <c r="A12" s="282" t="inlineStr">
        <is>
          <t>测试用例ID</t>
        </is>
      </c>
      <c r="B12" s="283" t="inlineStr">
        <is>
          <t>测试类型</t>
        </is>
      </c>
      <c r="C12" s="283" t="inlineStr">
        <is>
          <t>需求ID</t>
        </is>
      </c>
      <c r="D12" s="283" t="inlineStr">
        <is>
          <t>测试用例描述</t>
        </is>
      </c>
      <c r="E12" s="283" t="inlineStr">
        <is>
          <t>前置条件</t>
        </is>
      </c>
      <c r="F12" s="283" t="inlineStr">
        <is>
          <t>测试步骤</t>
        </is>
      </c>
      <c r="G12" s="283" t="inlineStr">
        <is>
          <t>预期结果</t>
        </is>
      </c>
      <c r="H12" s="283" t="inlineStr">
        <is>
          <t>优先级</t>
        </is>
      </c>
      <c r="I12" s="283" t="inlineStr">
        <is>
          <t>版本变更记录</t>
        </is>
      </c>
      <c r="J12" s="284" t="inlineStr">
        <is>
          <t>Round1</t>
        </is>
      </c>
      <c r="K12" s="4" t="n"/>
      <c r="L12" s="4" t="n"/>
      <c r="M12" s="4" t="n"/>
      <c r="N12" s="4" t="n"/>
      <c r="O12" s="5" t="n"/>
    </row>
    <row r="13">
      <c r="A13" s="77" t="n"/>
      <c r="B13" s="78" t="n"/>
      <c r="C13" s="78" t="n"/>
      <c r="D13" s="78" t="n"/>
      <c r="E13" s="78" t="n"/>
      <c r="F13" s="78" t="n"/>
      <c r="G13" s="78" t="n"/>
      <c r="H13" s="78" t="n"/>
      <c r="I13" s="78" t="n"/>
      <c r="J13" s="285" t="inlineStr">
        <is>
          <t>实际结果</t>
        </is>
      </c>
      <c r="K13" s="285" t="inlineStr">
        <is>
          <t>BUG</t>
        </is>
      </c>
      <c r="L13" s="286" t="inlineStr">
        <is>
          <t>备注(测试结果的log及图片等打包对应插入此列)</t>
        </is>
      </c>
      <c r="M13" s="286" t="inlineStr">
        <is>
          <t>测试版本</t>
        </is>
      </c>
      <c r="N13" s="285" t="inlineStr">
        <is>
          <t>实施者</t>
        </is>
      </c>
      <c r="O13" s="287" t="inlineStr">
        <is>
          <t>测试日期</t>
        </is>
      </c>
    </row>
    <row r="14" ht="180" customHeight="1" s="1">
      <c r="A14" s="288" t="n"/>
      <c r="B14" s="305" t="n"/>
      <c r="C14" s="313" t="n"/>
      <c r="D14" s="42" t="n"/>
      <c r="E14" s="310" t="n"/>
      <c r="F14" s="310" t="n"/>
      <c r="G14" s="119" t="n"/>
      <c r="H14" s="120" t="n"/>
      <c r="I14" s="311" t="n"/>
      <c r="J14" s="292" t="n"/>
      <c r="K14" s="312" t="n"/>
      <c r="L14" s="114" t="n"/>
      <c r="M14" s="90" t="n"/>
      <c r="N14" s="295" t="n"/>
      <c r="O14" s="296" t="n"/>
    </row>
    <row r="15" ht="180" customHeight="1" s="1">
      <c r="A15" s="288" t="n"/>
      <c r="B15" s="305" t="n"/>
      <c r="C15" s="313" t="n"/>
      <c r="D15" s="42" t="n"/>
      <c r="E15" s="310" t="n"/>
      <c r="F15" s="310" t="n"/>
      <c r="G15" s="119" t="n"/>
      <c r="H15" s="120" t="n"/>
      <c r="I15" s="311" t="n"/>
      <c r="J15" s="292" t="n"/>
      <c r="K15" s="312" t="n"/>
      <c r="L15" s="114" t="n"/>
      <c r="M15" s="90" t="n"/>
      <c r="N15" s="295" t="n"/>
      <c r="O15" s="296" t="n"/>
    </row>
    <row r="16" ht="191.25" customHeight="1" s="1">
      <c r="A16" s="288" t="n"/>
      <c r="B16" s="305" t="n"/>
      <c r="C16" s="313" t="n"/>
      <c r="D16" s="42" t="n"/>
      <c r="E16" s="310" t="n"/>
      <c r="F16" s="310" t="n"/>
      <c r="G16" s="119" t="n"/>
      <c r="H16" s="120" t="n"/>
      <c r="I16" s="311" t="n"/>
      <c r="J16" s="292" t="n"/>
      <c r="K16" s="312" t="n"/>
      <c r="L16" s="114" t="n"/>
      <c r="M16" s="90" t="n"/>
      <c r="N16" s="295" t="n"/>
      <c r="O16" s="296" t="n"/>
    </row>
    <row r="17" ht="180" customHeight="1" s="1">
      <c r="A17" s="288" t="n"/>
      <c r="B17" s="305" t="n"/>
      <c r="C17" s="325" t="n"/>
      <c r="D17" s="123" t="n"/>
      <c r="E17" s="310" t="n"/>
      <c r="F17" s="310" t="n"/>
      <c r="G17" s="119" t="n"/>
      <c r="H17" s="124" t="n"/>
      <c r="I17" s="326" t="n"/>
      <c r="J17" s="292" t="n"/>
      <c r="K17" s="294" t="n"/>
      <c r="L17" s="126" t="n"/>
      <c r="M17" s="90" t="n"/>
      <c r="N17" s="295" t="n"/>
      <c r="O17" s="296" t="n"/>
    </row>
    <row r="18" ht="191.25" customHeight="1" s="1">
      <c r="A18" s="314" t="n"/>
      <c r="B18" s="305" t="n"/>
      <c r="C18" s="327" t="n"/>
      <c r="D18" s="129" t="n"/>
      <c r="E18" s="310" t="n"/>
      <c r="F18" s="310" t="n"/>
      <c r="G18" s="119" t="n"/>
      <c r="H18" s="124" t="n"/>
      <c r="I18" s="326" t="n"/>
      <c r="J18" s="292" t="n"/>
      <c r="K18" s="294" t="n"/>
      <c r="L18" s="126" t="n"/>
      <c r="M18" s="90" t="n"/>
      <c r="N18" s="295" t="n"/>
      <c r="O18" s="296" t="n"/>
    </row>
    <row r="19" ht="180" customHeight="1" s="1">
      <c r="A19" s="328" t="n"/>
      <c r="B19" s="328" t="n"/>
      <c r="C19" s="306" t="n"/>
      <c r="D19" s="132" t="n"/>
      <c r="E19" s="329" t="n"/>
      <c r="F19" s="307" t="n"/>
      <c r="G19" s="119" t="n"/>
      <c r="H19" s="124" t="n"/>
      <c r="I19" s="326" t="n"/>
      <c r="J19" s="292" t="n"/>
      <c r="K19" s="294" t="n"/>
      <c r="L19" s="126" t="n"/>
      <c r="M19" s="90" t="n"/>
      <c r="N19" s="295" t="n"/>
      <c r="O19" s="296" t="n"/>
    </row>
    <row r="20" ht="180" customHeight="1" s="1">
      <c r="A20" s="330" t="n"/>
      <c r="B20" s="330" t="n"/>
      <c r="C20" s="313" t="n"/>
      <c r="D20" s="42" t="n"/>
      <c r="E20" s="310" t="n"/>
      <c r="F20" s="310" t="n"/>
      <c r="G20" s="136" t="n"/>
      <c r="H20" s="124" t="n"/>
      <c r="I20" s="326" t="n"/>
      <c r="J20" s="292" t="n"/>
      <c r="K20" s="137" t="n"/>
      <c r="L20" s="126" t="n"/>
      <c r="M20" s="90" t="n"/>
      <c r="N20" s="295" t="n"/>
      <c r="O20" s="296" t="n"/>
    </row>
    <row r="21" ht="168.75" customHeight="1" s="1">
      <c r="A21" s="288" t="n"/>
      <c r="B21" s="305" t="n"/>
      <c r="C21" s="313" t="n"/>
      <c r="D21" s="132" t="n"/>
      <c r="E21" s="307" t="n"/>
      <c r="F21" s="307" t="n"/>
      <c r="G21" s="138" t="n"/>
      <c r="H21" s="115" t="n"/>
      <c r="I21" s="292" t="n"/>
      <c r="J21" s="292" t="n"/>
      <c r="K21" s="294" t="n"/>
      <c r="L21" s="114" t="n"/>
      <c r="M21" s="90" t="n"/>
      <c r="N21" s="295" t="n"/>
      <c r="O21" s="296" t="n"/>
    </row>
    <row r="22" ht="180" customHeight="1" s="1">
      <c r="A22" s="288" t="n"/>
      <c r="B22" s="305" t="n"/>
      <c r="C22" s="306" t="n"/>
      <c r="D22" s="139" t="n"/>
      <c r="E22" s="307" t="n"/>
      <c r="F22" s="307" t="n"/>
      <c r="G22" s="132" t="n"/>
      <c r="H22" s="140" t="n"/>
      <c r="I22" s="308" t="n"/>
      <c r="J22" s="292" t="n"/>
      <c r="K22" s="294" t="n"/>
      <c r="L22" s="114" t="n"/>
      <c r="M22" s="90" t="n"/>
      <c r="N22" s="295" t="n"/>
      <c r="O22" s="296" t="n"/>
    </row>
    <row r="23" ht="180" customHeight="1" s="1">
      <c r="A23" s="314" t="n"/>
      <c r="B23" s="305" t="n"/>
      <c r="C23" s="306" t="n"/>
      <c r="D23" s="132" t="n"/>
      <c r="E23" s="310" t="n"/>
      <c r="F23" s="310" t="n"/>
      <c r="G23" s="119" t="n"/>
      <c r="H23" s="120" t="n"/>
      <c r="I23" s="311" t="n"/>
      <c r="J23" s="292" t="n"/>
      <c r="K23" s="312" t="n"/>
      <c r="L23" s="114" t="n"/>
      <c r="M23" s="90" t="n"/>
      <c r="N23" s="295" t="n"/>
      <c r="O23" s="296" t="n"/>
    </row>
    <row r="24" ht="180" customHeight="1" s="1">
      <c r="A24" s="330" t="n"/>
      <c r="B24" s="330" t="n"/>
      <c r="C24" s="313" t="n"/>
      <c r="D24" s="42" t="n"/>
      <c r="E24" s="331" t="n"/>
      <c r="F24" s="310" t="n"/>
      <c r="G24" s="119" t="n"/>
      <c r="H24" s="120" t="n"/>
      <c r="I24" s="311" t="n"/>
      <c r="J24" s="292" t="n"/>
      <c r="K24" s="312" t="n"/>
      <c r="L24" s="114" t="n"/>
      <c r="M24" s="90" t="n"/>
      <c r="N24" s="295" t="n"/>
      <c r="O24" s="296" t="n"/>
    </row>
    <row r="25" ht="168.75" customHeight="1" s="1">
      <c r="A25" s="330" t="n"/>
      <c r="B25" s="330" t="n"/>
      <c r="C25" s="313" t="n"/>
      <c r="D25" s="119" t="n"/>
      <c r="E25" s="331" t="n"/>
      <c r="F25" s="310" t="n"/>
      <c r="G25" s="119" t="n"/>
      <c r="H25" s="124" t="n"/>
      <c r="I25" s="326" t="n"/>
      <c r="J25" s="292" t="n"/>
      <c r="K25" s="294" t="n"/>
      <c r="L25" s="114" t="n"/>
      <c r="M25" s="90" t="n"/>
      <c r="N25" s="295" t="n"/>
      <c r="O25" s="296" t="n"/>
    </row>
    <row r="26" ht="191.25" customHeight="1" s="1">
      <c r="A26" s="330" t="n"/>
      <c r="B26" s="330" t="n"/>
      <c r="C26" s="313" t="n"/>
      <c r="D26" s="119" t="n"/>
      <c r="E26" s="331" t="n"/>
      <c r="F26" s="310" t="n"/>
      <c r="G26" s="119" t="n"/>
      <c r="H26" s="124" t="n"/>
      <c r="I26" s="326" t="n"/>
      <c r="J26" s="292" t="n"/>
      <c r="K26" s="294" t="n"/>
      <c r="L26" s="114" t="n"/>
      <c r="M26" s="90" t="n"/>
      <c r="N26" s="295" t="n"/>
      <c r="O26" s="296" t="n"/>
    </row>
    <row r="27" ht="157.5" customHeight="1" s="1">
      <c r="A27" s="330" t="n"/>
      <c r="B27" s="330" t="n"/>
      <c r="C27" s="313" t="n"/>
      <c r="D27" s="119" t="n"/>
      <c r="E27" s="329" t="n"/>
      <c r="F27" s="307" t="n"/>
      <c r="G27" s="119" t="n"/>
      <c r="H27" s="124" t="n"/>
      <c r="I27" s="326" t="n"/>
      <c r="J27" s="292" t="n"/>
      <c r="K27" s="294" t="n"/>
      <c r="L27" s="311" t="n"/>
      <c r="M27" s="90" t="n"/>
      <c r="N27" s="295" t="n"/>
      <c r="O27" s="296" t="n"/>
    </row>
    <row r="28" ht="157.5" customHeight="1" s="1">
      <c r="A28" s="332" t="n"/>
      <c r="B28" s="332" t="n"/>
      <c r="C28" s="325" t="n"/>
      <c r="D28" s="144" t="n"/>
      <c r="E28" s="310" t="n"/>
      <c r="F28" s="310" t="n"/>
      <c r="G28" s="136" t="n"/>
      <c r="H28" s="124" t="n"/>
      <c r="I28" s="326" t="n"/>
      <c r="J28" s="292" t="n"/>
      <c r="K28" s="294" t="n"/>
      <c r="L28" s="114" t="n"/>
      <c r="M28" s="90" t="n"/>
      <c r="N28" s="295" t="n"/>
      <c r="O28" s="296" t="n"/>
    </row>
    <row r="29" ht="157.5" customHeight="1" s="1">
      <c r="A29" s="333" t="n"/>
      <c r="B29" s="289" t="n"/>
      <c r="C29" s="325" t="n"/>
      <c r="D29" s="146" t="n"/>
      <c r="E29" s="334" t="n"/>
      <c r="F29" s="334" t="n"/>
      <c r="G29" s="119" t="n"/>
      <c r="H29" s="124" t="n"/>
      <c r="I29" s="326" t="n"/>
      <c r="J29" s="292" t="n"/>
      <c r="K29" s="294" t="n"/>
      <c r="L29" s="311" t="n"/>
      <c r="M29" s="90" t="n"/>
      <c r="N29" s="295" t="n"/>
      <c r="O29" s="296" t="n"/>
    </row>
    <row r="30" ht="157.5" customHeight="1" s="1">
      <c r="A30" s="333" t="n"/>
      <c r="B30" s="289" t="n"/>
      <c r="C30" s="327" t="n"/>
      <c r="D30" s="146" t="n"/>
      <c r="E30" s="334" t="n"/>
      <c r="F30" s="334" t="n"/>
      <c r="G30" s="119" t="n"/>
      <c r="H30" s="124" t="n"/>
      <c r="I30" s="326" t="n"/>
      <c r="J30" s="292" t="n"/>
      <c r="K30" s="294" t="n"/>
      <c r="L30" s="114" t="n"/>
      <c r="M30" s="90" t="n"/>
      <c r="N30" s="295" t="n"/>
      <c r="O30" s="296" t="n"/>
    </row>
    <row r="31" ht="157.5" customHeight="1" s="1">
      <c r="A31" s="333" t="n"/>
      <c r="B31" s="335" t="n"/>
      <c r="C31" s="313" t="n"/>
      <c r="D31" s="149" t="n"/>
      <c r="E31" s="334" t="n"/>
      <c r="F31" s="334" t="n"/>
      <c r="G31" s="119" t="n"/>
      <c r="H31" s="124" t="n"/>
      <c r="I31" s="326" t="n"/>
      <c r="J31" s="292" t="n"/>
      <c r="K31" s="294" t="n"/>
      <c r="L31" s="311" t="n"/>
      <c r="M31" s="90" t="n"/>
      <c r="N31" s="295" t="n"/>
      <c r="O31" s="296" t="n"/>
    </row>
    <row r="32" ht="146.25" customHeight="1" s="1">
      <c r="A32" s="333" t="n"/>
      <c r="B32" s="335" t="n"/>
      <c r="C32" s="313" t="n"/>
      <c r="D32" s="149" t="n"/>
      <c r="E32" s="334" t="n"/>
      <c r="F32" s="334" t="n"/>
      <c r="G32" s="119" t="n"/>
      <c r="H32" s="124" t="n"/>
      <c r="I32" s="326" t="n"/>
      <c r="J32" s="292" t="n"/>
      <c r="K32" s="294" t="n"/>
      <c r="L32" s="114" t="n"/>
      <c r="M32" s="90" t="n"/>
      <c r="N32" s="295" t="n"/>
      <c r="O32" s="296" t="n"/>
    </row>
    <row r="33" ht="157.5" customHeight="1" s="1">
      <c r="A33" s="333" t="n"/>
      <c r="B33" s="335" t="n"/>
      <c r="C33" s="313" t="n"/>
      <c r="D33" s="149" t="n"/>
      <c r="E33" s="334" t="n"/>
      <c r="F33" s="334" t="n"/>
      <c r="G33" s="119" t="n"/>
      <c r="H33" s="124" t="n"/>
      <c r="I33" s="326" t="n"/>
      <c r="J33" s="292" t="n"/>
      <c r="K33" s="294" t="n"/>
      <c r="L33" s="311" t="n"/>
      <c r="M33" s="90" t="n"/>
      <c r="N33" s="295" t="n"/>
      <c r="O33" s="296" t="n"/>
    </row>
    <row r="34" ht="157.5" customHeight="1" s="1">
      <c r="A34" s="333" t="n"/>
      <c r="B34" s="335" t="n"/>
      <c r="C34" s="313" t="n"/>
      <c r="D34" s="149" t="n"/>
      <c r="E34" s="334" t="n"/>
      <c r="F34" s="334" t="n"/>
      <c r="G34" s="119" t="n"/>
      <c r="H34" s="124" t="n"/>
      <c r="I34" s="326" t="n"/>
      <c r="J34" s="292" t="n"/>
      <c r="K34" s="294" t="n"/>
      <c r="L34" s="114" t="n"/>
      <c r="M34" s="90" t="n"/>
      <c r="N34" s="295" t="n"/>
      <c r="O34" s="296" t="n"/>
    </row>
  </sheetData>
  <mergeCells count="11">
    <mergeCell ref="A12:A13"/>
    <mergeCell ref="B12:B13"/>
    <mergeCell ref="E12:E13"/>
    <mergeCell ref="C12:C13"/>
    <mergeCell ref="H12:H13"/>
    <mergeCell ref="F12:F13"/>
    <mergeCell ref="G12:G13"/>
    <mergeCell ref="I12:I13"/>
    <mergeCell ref="D12:D13"/>
    <mergeCell ref="A1:B2"/>
    <mergeCell ref="J12:O12"/>
  </mergeCells>
  <conditionalFormatting sqref="J14">
    <cfRule type="cellIs" priority="40" operator="equal" dxfId="2" stopIfTrue="1">
      <formula>#REF!</formula>
    </cfRule>
  </conditionalFormatting>
  <conditionalFormatting sqref="M14">
    <cfRule type="cellIs" priority="18" operator="equal" dxfId="2" stopIfTrue="1">
      <formula>#REF!</formula>
    </cfRule>
  </conditionalFormatting>
  <conditionalFormatting sqref="J15">
    <cfRule type="cellIs" priority="39" operator="equal" dxfId="2" stopIfTrue="1">
      <formula>#REF!</formula>
    </cfRule>
  </conditionalFormatting>
  <conditionalFormatting sqref="M15">
    <cfRule type="cellIs" priority="17" operator="equal" dxfId="2" stopIfTrue="1">
      <formula>#REF!</formula>
    </cfRule>
  </conditionalFormatting>
  <conditionalFormatting sqref="J16">
    <cfRule type="cellIs" priority="38" operator="equal" dxfId="2" stopIfTrue="1">
      <formula>#REF!</formula>
    </cfRule>
  </conditionalFormatting>
  <conditionalFormatting sqref="M16">
    <cfRule type="cellIs" priority="16" operator="equal" dxfId="2" stopIfTrue="1">
      <formula>#REF!</formula>
    </cfRule>
  </conditionalFormatting>
  <conditionalFormatting sqref="J17">
    <cfRule type="cellIs" priority="37" operator="equal" dxfId="2" stopIfTrue="1">
      <formula>#REF!</formula>
    </cfRule>
  </conditionalFormatting>
  <conditionalFormatting sqref="M17">
    <cfRule type="cellIs" priority="15" operator="equal" dxfId="2" stopIfTrue="1">
      <formula>#REF!</formula>
    </cfRule>
  </conditionalFormatting>
  <conditionalFormatting sqref="J18">
    <cfRule type="cellIs" priority="36" operator="equal" dxfId="2" stopIfTrue="1">
      <formula>#REF!</formula>
    </cfRule>
  </conditionalFormatting>
  <conditionalFormatting sqref="M18">
    <cfRule type="cellIs" priority="14" operator="equal" dxfId="2" stopIfTrue="1">
      <formula>#REF!</formula>
    </cfRule>
  </conditionalFormatting>
  <conditionalFormatting sqref="J19">
    <cfRule type="cellIs" priority="20" operator="equal" dxfId="2" stopIfTrue="1">
      <formula>#REF!</formula>
    </cfRule>
  </conditionalFormatting>
  <conditionalFormatting sqref="M19">
    <cfRule type="cellIs" priority="13" operator="equal" dxfId="2" stopIfTrue="1">
      <formula>#REF!</formula>
    </cfRule>
  </conditionalFormatting>
  <conditionalFormatting sqref="J20">
    <cfRule type="cellIs" priority="35" operator="equal" dxfId="2" stopIfTrue="1">
      <formula>#REF!</formula>
    </cfRule>
  </conditionalFormatting>
  <conditionalFormatting sqref="M20">
    <cfRule type="cellIs" priority="12" operator="equal" dxfId="2" stopIfTrue="1">
      <formula>#REF!</formula>
    </cfRule>
  </conditionalFormatting>
  <conditionalFormatting sqref="J21">
    <cfRule type="cellIs" priority="27" operator="equal" dxfId="2" stopIfTrue="1">
      <formula>#REF!</formula>
    </cfRule>
  </conditionalFormatting>
  <conditionalFormatting sqref="M21">
    <cfRule type="cellIs" priority="11" operator="equal" dxfId="2" stopIfTrue="1">
      <formula>#REF!</formula>
    </cfRule>
  </conditionalFormatting>
  <conditionalFormatting sqref="J22">
    <cfRule type="cellIs" priority="34" operator="equal" dxfId="2" stopIfTrue="1">
      <formula>#REF!</formula>
    </cfRule>
  </conditionalFormatting>
  <conditionalFormatting sqref="M22">
    <cfRule type="cellIs" priority="10" operator="equal" dxfId="2" stopIfTrue="1">
      <formula>#REF!</formula>
    </cfRule>
  </conditionalFormatting>
  <conditionalFormatting sqref="J23">
    <cfRule type="cellIs" priority="26" operator="equal" dxfId="2" stopIfTrue="1">
      <formula>#REF!</formula>
    </cfRule>
  </conditionalFormatting>
  <conditionalFormatting sqref="M23">
    <cfRule type="cellIs" priority="9" operator="equal" dxfId="2" stopIfTrue="1">
      <formula>#REF!</formula>
    </cfRule>
  </conditionalFormatting>
  <conditionalFormatting sqref="J24">
    <cfRule type="cellIs" priority="33" operator="equal" dxfId="2" stopIfTrue="1">
      <formula>#REF!</formula>
    </cfRule>
  </conditionalFormatting>
  <conditionalFormatting sqref="M24">
    <cfRule type="cellIs" priority="8" operator="equal" dxfId="2" stopIfTrue="1">
      <formula>#REF!</formula>
    </cfRule>
  </conditionalFormatting>
  <conditionalFormatting sqref="J25">
    <cfRule type="cellIs" priority="25" operator="equal" dxfId="2" stopIfTrue="1">
      <formula>#REF!</formula>
    </cfRule>
  </conditionalFormatting>
  <conditionalFormatting sqref="M25">
    <cfRule type="cellIs" priority="7" operator="equal" dxfId="2" stopIfTrue="1">
      <formula>#REF!</formula>
    </cfRule>
  </conditionalFormatting>
  <conditionalFormatting sqref="J26">
    <cfRule type="cellIs" priority="32" operator="equal" dxfId="2" stopIfTrue="1">
      <formula>#REF!</formula>
    </cfRule>
  </conditionalFormatting>
  <conditionalFormatting sqref="M26">
    <cfRule type="cellIs" priority="6" operator="equal" dxfId="2" stopIfTrue="1">
      <formula>#REF!</formula>
    </cfRule>
  </conditionalFormatting>
  <conditionalFormatting sqref="J27">
    <cfRule type="cellIs" priority="31" operator="equal" dxfId="2" stopIfTrue="1">
      <formula>#REF!</formula>
    </cfRule>
  </conditionalFormatting>
  <conditionalFormatting sqref="M27">
    <cfRule type="cellIs" priority="5" operator="equal" dxfId="2" stopIfTrue="1">
      <formula>#REF!</formula>
    </cfRule>
  </conditionalFormatting>
  <conditionalFormatting sqref="J28">
    <cfRule type="cellIs" priority="24" operator="equal" dxfId="2" stopIfTrue="1">
      <formula>#REF!</formula>
    </cfRule>
  </conditionalFormatting>
  <conditionalFormatting sqref="M28">
    <cfRule type="cellIs" priority="4" operator="equal" dxfId="2" stopIfTrue="1">
      <formula>#REF!</formula>
    </cfRule>
  </conditionalFormatting>
  <conditionalFormatting sqref="J29">
    <cfRule type="cellIs" priority="30" operator="equal" dxfId="2" stopIfTrue="1">
      <formula>#REF!</formula>
    </cfRule>
  </conditionalFormatting>
  <conditionalFormatting sqref="M29">
    <cfRule type="cellIs" priority="3" operator="equal" dxfId="2" stopIfTrue="1">
      <formula>#REF!</formula>
    </cfRule>
  </conditionalFormatting>
  <conditionalFormatting sqref="J30">
    <cfRule type="cellIs" priority="23" operator="equal" dxfId="2" stopIfTrue="1">
      <formula>#REF!</formula>
    </cfRule>
  </conditionalFormatting>
  <conditionalFormatting sqref="M30">
    <cfRule type="cellIs" priority="2" operator="equal" dxfId="2" stopIfTrue="1">
      <formula>#REF!</formula>
    </cfRule>
  </conditionalFormatting>
  <conditionalFormatting sqref="J31">
    <cfRule type="cellIs" priority="29" operator="equal" dxfId="2" stopIfTrue="1">
      <formula>#REF!</formula>
    </cfRule>
  </conditionalFormatting>
  <conditionalFormatting sqref="J32">
    <cfRule type="cellIs" priority="19" operator="equal" dxfId="2" stopIfTrue="1">
      <formula>#REF!</formula>
    </cfRule>
  </conditionalFormatting>
  <conditionalFormatting sqref="J33">
    <cfRule type="cellIs" priority="28" operator="equal" dxfId="2" stopIfTrue="1">
      <formula>#REF!</formula>
    </cfRule>
  </conditionalFormatting>
  <conditionalFormatting sqref="J34">
    <cfRule type="cellIs" priority="21" operator="equal" dxfId="2" stopIfTrue="1">
      <formula>#REF!</formula>
    </cfRule>
  </conditionalFormatting>
  <conditionalFormatting sqref="M31:M34">
    <cfRule type="cellIs" priority="1" operator="equal" dxfId="2" stopIfTrue="1">
      <formula>#REF!</formula>
    </cfRule>
  </conditionalFormatting>
  <conditionalFormatting sqref="J12:J13 L13:O13">
    <cfRule type="cellIs" priority="148" operator="equal" dxfId="3" stopIfTrue="1">
      <formula>"BLOCK"</formula>
    </cfRule>
    <cfRule type="cellIs" priority="149" operator="equal" dxfId="4" stopIfTrue="1">
      <formula>"NG"</formula>
    </cfRule>
    <cfRule type="cellIs" priority="150" operator="equal" dxfId="5" stopIfTrue="1">
      <formula>"OK"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topLeftCell="C4" workbookViewId="0">
      <selection activeCell="B3" sqref="B3"/>
    </sheetView>
  </sheetViews>
  <sheetFormatPr baseColWidth="8" defaultColWidth="8.888888888888889" defaultRowHeight="14.25"/>
  <cols>
    <col width="14.1111111111111" customWidth="1" style="1" min="2" max="2"/>
    <col width="13.4444444444444" customWidth="1" style="1" min="3" max="3"/>
    <col width="20.6666666666667" customWidth="1" style="1" min="4" max="4"/>
    <col width="29.7777777777778" customWidth="1" style="1" min="5" max="5"/>
    <col width="39.1111111111111" customWidth="1" style="1" min="6" max="6"/>
    <col width="23" customWidth="1" style="1" min="7" max="7"/>
    <col width="28.1111111111111" customWidth="1" style="1" min="12" max="12"/>
    <col width="20.2222222222222" customWidth="1" style="1" min="13" max="13"/>
  </cols>
  <sheetData>
    <row r="1">
      <c r="A1" s="270" t="inlineStr">
        <is>
          <t>功能测试</t>
        </is>
      </c>
      <c r="B1" s="64" t="n"/>
    </row>
    <row r="2">
      <c r="A2" s="67" t="n"/>
      <c r="B2" s="68" t="n"/>
    </row>
    <row r="3">
      <c r="A3" s="275" t="inlineStr">
        <is>
          <t>Total</t>
        </is>
      </c>
      <c r="B3" s="276">
        <f>COUNTA(A15:A38)</f>
        <v/>
      </c>
    </row>
    <row r="4">
      <c r="A4" s="275" t="inlineStr">
        <is>
          <t>Pass</t>
        </is>
      </c>
      <c r="B4" s="276">
        <f>COUNTIF(J12:J721,A4)</f>
        <v/>
      </c>
    </row>
    <row r="5">
      <c r="A5" s="275" t="inlineStr">
        <is>
          <t>Fail</t>
        </is>
      </c>
      <c r="B5" s="276">
        <f>COUNTIF(J12:J721,A5)</f>
        <v/>
      </c>
    </row>
    <row r="6">
      <c r="A6" s="275" t="inlineStr">
        <is>
          <t>NT</t>
        </is>
      </c>
      <c r="B6" s="276" t="n">
        <v>0</v>
      </c>
    </row>
    <row r="7">
      <c r="A7" s="275" t="inlineStr">
        <is>
          <t>BLOCK</t>
        </is>
      </c>
      <c r="B7" s="276">
        <f>COUNTIF(J12:J721,A7)</f>
        <v/>
      </c>
    </row>
    <row r="8">
      <c r="A8" s="275" t="inlineStr">
        <is>
          <t>NA</t>
        </is>
      </c>
      <c r="B8" s="276">
        <f>COUNTIF(J12:J721,A8)</f>
        <v/>
      </c>
    </row>
    <row r="9">
      <c r="A9" s="275" t="inlineStr">
        <is>
          <t>Pass率</t>
        </is>
      </c>
      <c r="B9" s="279">
        <f>IFERROR(B4/(B3-B6-B8),"")</f>
        <v/>
      </c>
    </row>
    <row r="10" ht="15" customHeight="1" s="1">
      <c r="A10" s="280" t="inlineStr">
        <is>
          <t>Fail率</t>
        </is>
      </c>
      <c r="B10" s="281">
        <f>IFERROR(B5/(B3-B6-B8),"")</f>
        <v/>
      </c>
    </row>
    <row r="12" ht="15" customHeight="1" s="1"/>
    <row r="13" ht="15" customHeight="1" s="1">
      <c r="A13" s="282" t="inlineStr">
        <is>
          <t>测试用例ID</t>
        </is>
      </c>
      <c r="B13" s="283" t="inlineStr">
        <is>
          <t>测试类型</t>
        </is>
      </c>
      <c r="C13" s="283" t="inlineStr">
        <is>
          <t>需求ID</t>
        </is>
      </c>
      <c r="D13" s="283" t="inlineStr">
        <is>
          <t>测试用例描述</t>
        </is>
      </c>
      <c r="E13" s="283" t="inlineStr">
        <is>
          <t>前置条件</t>
        </is>
      </c>
      <c r="F13" s="283" t="inlineStr">
        <is>
          <t>测试步骤</t>
        </is>
      </c>
      <c r="G13" s="283" t="inlineStr">
        <is>
          <t>预期结果</t>
        </is>
      </c>
      <c r="H13" s="283" t="inlineStr">
        <is>
          <t>优先级</t>
        </is>
      </c>
      <c r="I13" s="283" t="inlineStr">
        <is>
          <t>版本变更记录</t>
        </is>
      </c>
      <c r="J13" s="284" t="inlineStr">
        <is>
          <t>Round1</t>
        </is>
      </c>
      <c r="K13" s="4" t="n"/>
      <c r="L13" s="4" t="n"/>
      <c r="M13" s="4" t="n"/>
      <c r="N13" s="4" t="n"/>
      <c r="O13" s="5" t="n"/>
    </row>
    <row r="14" ht="45" customHeight="1" s="1">
      <c r="A14" s="77" t="n"/>
      <c r="B14" s="78" t="n"/>
      <c r="C14" s="78" t="n"/>
      <c r="D14" s="78" t="n"/>
      <c r="E14" s="78" t="n"/>
      <c r="F14" s="78" t="n"/>
      <c r="G14" s="78" t="n"/>
      <c r="H14" s="78" t="n"/>
      <c r="I14" s="78" t="n"/>
      <c r="J14" s="285" t="inlineStr">
        <is>
          <t>实际结果</t>
        </is>
      </c>
      <c r="K14" s="285" t="inlineStr">
        <is>
          <t>BUG</t>
        </is>
      </c>
      <c r="L14" s="286" t="inlineStr">
        <is>
          <t>备注(测试结果的log及图片等打包对应插入此列)</t>
        </is>
      </c>
      <c r="M14" s="286" t="inlineStr">
        <is>
          <t>测试版本</t>
        </is>
      </c>
      <c r="N14" s="285" t="inlineStr">
        <is>
          <t>实施者</t>
        </is>
      </c>
      <c r="O14" s="287" t="inlineStr">
        <is>
          <t>测试日期</t>
        </is>
      </c>
    </row>
    <row r="15" ht="67.5" customHeight="1" s="1">
      <c r="A15" s="288" t="n"/>
      <c r="B15" s="289" t="n"/>
      <c r="C15" s="290" t="n"/>
      <c r="D15" s="113" t="n"/>
      <c r="E15" s="291" t="n"/>
      <c r="F15" s="291" t="n"/>
      <c r="G15" s="113" t="n"/>
      <c r="H15" s="289" t="n"/>
      <c r="I15" s="292" t="n"/>
      <c r="J15" s="292" t="n"/>
      <c r="K15" s="294" t="n"/>
      <c r="L15" s="114" t="n"/>
      <c r="M15" s="90" t="n"/>
      <c r="N15" s="295" t="n"/>
      <c r="O15" s="296" t="n"/>
    </row>
    <row r="16" ht="67.5" customHeight="1" s="1">
      <c r="A16" s="288" t="n"/>
      <c r="B16" s="289" t="n"/>
      <c r="C16" s="290" t="n"/>
      <c r="D16" s="113" t="n"/>
      <c r="E16" s="291" t="n"/>
      <c r="F16" s="291" t="n"/>
      <c r="G16" s="113" t="n"/>
      <c r="H16" s="289" t="n"/>
      <c r="I16" s="292" t="n"/>
      <c r="J16" s="292" t="n"/>
      <c r="K16" s="294" t="n"/>
      <c r="L16" s="114" t="n"/>
      <c r="M16" s="90" t="n"/>
      <c r="N16" s="295" t="n"/>
      <c r="O16" s="296" t="n"/>
    </row>
    <row r="17" ht="67.5" customHeight="1" s="1">
      <c r="A17" s="288" t="n"/>
      <c r="B17" s="289" t="n"/>
      <c r="C17" s="290" t="n"/>
      <c r="D17" s="113" t="n"/>
      <c r="E17" s="291" t="n"/>
      <c r="F17" s="291" t="n"/>
      <c r="G17" s="113" t="n"/>
      <c r="H17" s="289" t="n"/>
      <c r="I17" s="292" t="n"/>
      <c r="J17" s="292" t="n"/>
      <c r="K17" s="294" t="n"/>
      <c r="L17" s="114" t="n"/>
      <c r="M17" s="90" t="n"/>
      <c r="N17" s="295" t="n"/>
      <c r="O17" s="296" t="n"/>
    </row>
    <row r="18" ht="67.5" customHeight="1" s="1">
      <c r="A18" s="288" t="n"/>
      <c r="B18" s="289" t="n"/>
      <c r="C18" s="290" t="n"/>
      <c r="D18" s="113" t="n"/>
      <c r="E18" s="291" t="n"/>
      <c r="F18" s="291" t="n"/>
      <c r="G18" s="113" t="n"/>
      <c r="H18" s="115" t="n"/>
      <c r="I18" s="292" t="n"/>
      <c r="J18" s="292" t="n"/>
      <c r="K18" s="294" t="n"/>
      <c r="L18" s="114" t="n"/>
      <c r="M18" s="90" t="n"/>
      <c r="N18" s="295" t="n"/>
      <c r="O18" s="296" t="n"/>
    </row>
  </sheetData>
  <mergeCells count="11">
    <mergeCell ref="F13:F14"/>
    <mergeCell ref="H13:H14"/>
    <mergeCell ref="A13:A14"/>
    <mergeCell ref="B13:B14"/>
    <mergeCell ref="E13:E14"/>
    <mergeCell ref="D13:D14"/>
    <mergeCell ref="I13:I14"/>
    <mergeCell ref="J13:O13"/>
    <mergeCell ref="G13:G14"/>
    <mergeCell ref="A1:B2"/>
    <mergeCell ref="C13:C14"/>
  </mergeCells>
  <conditionalFormatting sqref="J15">
    <cfRule type="cellIs" priority="5" operator="equal" dxfId="2" stopIfTrue="1">
      <formula>#REF!</formula>
    </cfRule>
  </conditionalFormatting>
  <conditionalFormatting sqref="J16">
    <cfRule type="cellIs" priority="4" operator="equal" dxfId="2" stopIfTrue="1">
      <formula>#REF!</formula>
    </cfRule>
  </conditionalFormatting>
  <conditionalFormatting sqref="A17">
    <cfRule type="expression" priority="31" dxfId="0" stopIfTrue="1">
      <formula>#REF!="变更删除"</formula>
    </cfRule>
    <cfRule type="expression" priority="32" dxfId="1" stopIfTrue="1">
      <formula>#REF!="删除"</formula>
    </cfRule>
  </conditionalFormatting>
  <conditionalFormatting sqref="J17">
    <cfRule type="cellIs" priority="3" operator="equal" dxfId="2" stopIfTrue="1">
      <formula>#REF!</formula>
    </cfRule>
  </conditionalFormatting>
  <conditionalFormatting sqref="A18">
    <cfRule type="expression" priority="34" dxfId="0" stopIfTrue="1">
      <formula>#REF!="变更删除"</formula>
    </cfRule>
    <cfRule type="expression" priority="35" dxfId="1" stopIfTrue="1">
      <formula>#REF!="删除"</formula>
    </cfRule>
  </conditionalFormatting>
  <conditionalFormatting sqref="B18:D18">
    <cfRule type="expression" priority="36" dxfId="0" stopIfTrue="1">
      <formula>#REF!="变更删除"</formula>
    </cfRule>
    <cfRule type="expression" priority="37" dxfId="1" stopIfTrue="1">
      <formula>#REF!="删除"</formula>
    </cfRule>
  </conditionalFormatting>
  <conditionalFormatting sqref="E18">
    <cfRule type="expression" priority="38" dxfId="0" stopIfTrue="1">
      <formula>#REF!="变更删除"</formula>
    </cfRule>
    <cfRule type="expression" priority="39" dxfId="1" stopIfTrue="1">
      <formula>#REF!="删除"</formula>
    </cfRule>
  </conditionalFormatting>
  <conditionalFormatting sqref="F18:G18">
    <cfRule type="expression" priority="40" dxfId="0" stopIfTrue="1">
      <formula>#REF!="变更删除"</formula>
    </cfRule>
    <cfRule type="expression" priority="41" dxfId="1" stopIfTrue="1">
      <formula>#REF!="删除"</formula>
    </cfRule>
  </conditionalFormatting>
  <conditionalFormatting sqref="J18">
    <cfRule type="cellIs" priority="2" operator="equal" dxfId="2" stopIfTrue="1">
      <formula>#REF!</formula>
    </cfRule>
  </conditionalFormatting>
  <conditionalFormatting sqref="H15:H18">
    <cfRule type="expression" priority="51" dxfId="0" stopIfTrue="1">
      <formula>#REF!="变更删除"</formula>
    </cfRule>
    <cfRule type="expression" priority="52" dxfId="1" stopIfTrue="1">
      <formula>#REF!="删除"</formula>
    </cfRule>
  </conditionalFormatting>
  <conditionalFormatting sqref="M15:M18">
    <cfRule type="cellIs" priority="1" operator="equal" dxfId="2" stopIfTrue="1">
      <formula>#REF!</formula>
    </cfRule>
  </conditionalFormatting>
  <conditionalFormatting sqref="J13:J14 L14:O14">
    <cfRule type="cellIs" priority="44" operator="equal" dxfId="3" stopIfTrue="1">
      <formula>"BLOCK"</formula>
    </cfRule>
    <cfRule type="cellIs" priority="45" operator="equal" dxfId="4" stopIfTrue="1">
      <formula>"NG"</formula>
    </cfRule>
    <cfRule type="cellIs" priority="46" operator="equal" dxfId="5" stopIfTrue="1">
      <formula>"OK"</formula>
    </cfRule>
  </conditionalFormatting>
  <conditionalFormatting sqref="A15:D16 B17:D17">
    <cfRule type="expression" priority="47" dxfId="0" stopIfTrue="1">
      <formula>#REF!="变更删除"</formula>
    </cfRule>
    <cfRule type="expression" priority="48" dxfId="1" stopIfTrue="1">
      <formula>#REF!="删除"</formula>
    </cfRule>
  </conditionalFormatting>
  <conditionalFormatting sqref="F15:G17">
    <cfRule type="expression" priority="49" dxfId="0" stopIfTrue="1">
      <formula>#REF!="变更删除"</formula>
    </cfRule>
    <cfRule type="expression" priority="50" dxfId="1" stopIfTrue="1">
      <formula>#REF!="删除"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B2:O19"/>
  <sheetViews>
    <sheetView showGridLines="0" topLeftCell="F1" workbookViewId="0">
      <selection activeCell="L16" sqref="L16"/>
    </sheetView>
  </sheetViews>
  <sheetFormatPr baseColWidth="8" defaultColWidth="13" defaultRowHeight="14.25"/>
  <cols>
    <col width="3" customWidth="1" style="1" min="1" max="1"/>
    <col width="17" customWidth="1" style="1" min="2" max="2"/>
    <col width="14" customWidth="1" style="1" min="3" max="3"/>
    <col width="40" customWidth="1" style="1" min="4" max="4"/>
    <col width="26" customWidth="1" style="1" min="5" max="5"/>
    <col width="42" customWidth="1" style="1" min="6" max="6"/>
    <col width="44" customWidth="1" style="1" min="7" max="7"/>
    <col width="11" customWidth="1" style="1" min="8" max="8"/>
    <col width="14" customWidth="1" style="1" min="9" max="11"/>
    <col width="27" customWidth="1" style="1" min="12" max="12"/>
    <col width="29" customWidth="1" style="1" min="13" max="13"/>
    <col width="14" customWidth="1" style="1" min="14" max="20"/>
  </cols>
  <sheetData>
    <row r="1" ht="17" customHeight="1" s="1"/>
    <row r="2" ht="24" customHeight="1" s="1">
      <c r="B2" s="270" t="inlineStr">
        <is>
          <t>压力测试</t>
        </is>
      </c>
      <c r="C2" s="64" t="n"/>
      <c r="D2" s="272" t="n"/>
      <c r="E2" s="272" t="n"/>
      <c r="F2" s="272" t="n"/>
      <c r="G2" s="272" t="n"/>
      <c r="H2" s="272" t="n"/>
      <c r="I2" s="272" t="n"/>
      <c r="J2" s="272" t="n"/>
      <c r="K2" s="272" t="n"/>
      <c r="L2" s="272" t="n"/>
      <c r="M2" s="272" t="n"/>
      <c r="N2" s="272" t="n"/>
      <c r="O2" s="272" t="n"/>
    </row>
    <row r="3" ht="12" customHeight="1" s="1">
      <c r="B3" s="67" t="n"/>
      <c r="C3" s="68" t="n"/>
      <c r="D3" s="272" t="n"/>
      <c r="E3" s="272" t="n"/>
      <c r="F3" s="272" t="n"/>
      <c r="G3" s="272" t="n"/>
      <c r="H3" s="272" t="n"/>
      <c r="I3" s="272" t="n"/>
      <c r="J3" s="272" t="n"/>
      <c r="K3" s="272" t="n"/>
      <c r="L3" s="272" t="n"/>
      <c r="M3" s="272" t="n"/>
      <c r="N3" s="272" t="n"/>
      <c r="O3" s="272" t="n"/>
    </row>
    <row r="4" ht="12" customHeight="1" s="1">
      <c r="B4" s="275" t="inlineStr">
        <is>
          <t>Total</t>
        </is>
      </c>
      <c r="C4" s="276">
        <f>COUNTA(B15:B194)</f>
        <v/>
      </c>
      <c r="D4" s="272" t="n"/>
      <c r="E4" s="272" t="n"/>
      <c r="F4" s="272" t="n"/>
      <c r="G4" s="272" t="n"/>
      <c r="H4" s="272" t="n"/>
      <c r="I4" s="272" t="n"/>
      <c r="J4" s="272" t="n"/>
      <c r="K4" s="272" t="n"/>
      <c r="L4" s="272" t="n"/>
      <c r="M4" s="272" t="n"/>
      <c r="N4" s="272" t="n"/>
      <c r="O4" s="272" t="n"/>
    </row>
    <row r="5" ht="12" customHeight="1" s="1">
      <c r="B5" s="275" t="inlineStr">
        <is>
          <t>Pass</t>
        </is>
      </c>
      <c r="C5" s="276">
        <f>COUNTIF(J15:J930,B5)</f>
        <v/>
      </c>
      <c r="D5" s="272" t="n"/>
      <c r="E5" s="272" t="n"/>
      <c r="F5" s="272" t="n"/>
      <c r="G5" s="272" t="n"/>
      <c r="H5" s="272" t="n"/>
      <c r="I5" s="272" t="n"/>
      <c r="J5" s="272" t="n"/>
      <c r="K5" s="272" t="n"/>
      <c r="L5" s="272" t="n"/>
      <c r="M5" s="272" t="n"/>
      <c r="N5" s="272" t="n"/>
      <c r="O5" s="272" t="n"/>
    </row>
    <row r="6" ht="12" customHeight="1" s="1">
      <c r="B6" s="275" t="inlineStr">
        <is>
          <t>Fail</t>
        </is>
      </c>
      <c r="C6" s="276">
        <f>COUNTIF(J15:J930,B6)</f>
        <v/>
      </c>
      <c r="D6" s="272" t="n"/>
      <c r="E6" s="272" t="n"/>
      <c r="F6" s="272" t="n"/>
      <c r="G6" s="272" t="n"/>
      <c r="H6" s="272" t="n"/>
      <c r="I6" s="272" t="n"/>
      <c r="J6" s="272" t="n"/>
      <c r="K6" s="272" t="n"/>
      <c r="L6" s="272" t="n"/>
      <c r="M6" s="272" t="n"/>
      <c r="N6" s="272" t="n"/>
      <c r="O6" s="272" t="n"/>
    </row>
    <row r="7" ht="12" customHeight="1" s="1">
      <c r="B7" s="275" t="inlineStr">
        <is>
          <t>NT</t>
        </is>
      </c>
      <c r="C7" s="276">
        <f>COUNTIF(J15:J930,B7)</f>
        <v/>
      </c>
      <c r="D7" s="272" t="n"/>
      <c r="E7" s="272" t="n"/>
      <c r="F7" s="272" t="n"/>
      <c r="G7" s="272" t="n"/>
      <c r="H7" s="272" t="n"/>
      <c r="I7" s="272" t="n"/>
      <c r="J7" s="272" t="n"/>
      <c r="K7" s="272" t="n"/>
      <c r="L7" s="272" t="n"/>
      <c r="M7" s="272" t="n"/>
      <c r="N7" s="272" t="n"/>
      <c r="O7" s="272" t="n"/>
    </row>
    <row r="8" ht="12" customHeight="1" s="1">
      <c r="B8" s="275" t="inlineStr">
        <is>
          <t>BLOCK</t>
        </is>
      </c>
      <c r="C8" s="276">
        <f>COUNTIF(J15:J930,B8)</f>
        <v/>
      </c>
      <c r="D8" s="272" t="n"/>
      <c r="E8" s="272" t="n"/>
      <c r="F8" s="272" t="n"/>
      <c r="G8" s="272" t="n"/>
      <c r="H8" s="272" t="n"/>
      <c r="I8" s="272" t="n"/>
      <c r="J8" s="272" t="n"/>
      <c r="K8" s="272" t="n"/>
      <c r="L8" s="272" t="n"/>
      <c r="M8" s="272" t="n"/>
      <c r="N8" s="272" t="n"/>
      <c r="O8" s="272" t="n"/>
    </row>
    <row r="9" ht="12" customHeight="1" s="1">
      <c r="B9" s="275" t="inlineStr">
        <is>
          <t>NA</t>
        </is>
      </c>
      <c r="C9" s="276">
        <f>COUNTIF(J15:J930,B9)</f>
        <v/>
      </c>
      <c r="D9" s="272" t="n"/>
      <c r="E9" s="272" t="n"/>
      <c r="F9" s="272" t="n"/>
      <c r="G9" s="272" t="n"/>
      <c r="H9" s="272" t="n"/>
      <c r="I9" s="272" t="n"/>
      <c r="J9" s="272" t="n"/>
      <c r="K9" s="272" t="n"/>
      <c r="L9" s="272" t="n"/>
      <c r="M9" s="272" t="n"/>
      <c r="N9" s="272" t="n"/>
      <c r="O9" s="272" t="n"/>
    </row>
    <row r="10" ht="12" customHeight="1" s="1">
      <c r="B10" s="275" t="inlineStr">
        <is>
          <t>Pass率</t>
        </is>
      </c>
      <c r="C10" s="279">
        <f>IFERROR(C5/(C4-C7-C9),"")</f>
        <v/>
      </c>
      <c r="D10" s="272" t="n"/>
      <c r="E10" s="272" t="n"/>
      <c r="F10" s="272" t="n"/>
      <c r="G10" s="272" t="n"/>
      <c r="H10" s="272" t="n"/>
      <c r="I10" s="272" t="n"/>
      <c r="J10" s="272" t="n"/>
      <c r="K10" s="272" t="n"/>
      <c r="L10" s="272" t="n"/>
      <c r="M10" s="272" t="n"/>
      <c r="N10" s="272" t="n"/>
      <c r="O10" s="272" t="n"/>
    </row>
    <row r="11" ht="12" customHeight="1" s="1">
      <c r="B11" s="280" t="inlineStr">
        <is>
          <t>Fail率</t>
        </is>
      </c>
      <c r="C11" s="281">
        <f>IFERROR(C6/(C4-C7-C9),"")</f>
        <v/>
      </c>
      <c r="D11" s="272" t="n"/>
      <c r="E11" s="272" t="n"/>
      <c r="F11" s="272" t="n"/>
      <c r="G11" s="272" t="n"/>
      <c r="H11" s="272" t="n"/>
      <c r="I11" s="272" t="n"/>
      <c r="J11" s="272" t="n"/>
      <c r="K11" s="272" t="n"/>
      <c r="L11" s="272" t="n"/>
      <c r="M11" s="272" t="n"/>
      <c r="N11" s="272" t="n"/>
      <c r="O11" s="272" t="n"/>
    </row>
    <row r="12" ht="12" customHeight="1" s="1"/>
    <row r="13" ht="12" customHeight="1" s="1">
      <c r="B13" s="336" t="inlineStr">
        <is>
          <t>测试用例ID</t>
        </is>
      </c>
      <c r="C13" s="337" t="inlineStr">
        <is>
          <t>测试类型</t>
        </is>
      </c>
      <c r="D13" s="337" t="inlineStr">
        <is>
          <t>测试用例描述</t>
        </is>
      </c>
      <c r="E13" s="337" t="inlineStr">
        <is>
          <t>前置条件</t>
        </is>
      </c>
      <c r="F13" s="337" t="inlineStr">
        <is>
          <t>测试步骤</t>
        </is>
      </c>
      <c r="G13" s="337" t="inlineStr">
        <is>
          <t>预期结果</t>
        </is>
      </c>
      <c r="H13" s="337" t="inlineStr">
        <is>
          <t>优先级</t>
        </is>
      </c>
      <c r="I13" s="337" t="inlineStr">
        <is>
          <t>版本变更记录</t>
        </is>
      </c>
      <c r="J13" s="338" t="inlineStr">
        <is>
          <t>Round1</t>
        </is>
      </c>
      <c r="K13" s="4" t="n"/>
      <c r="L13" s="4" t="n"/>
      <c r="M13" s="4" t="n"/>
      <c r="N13" s="4" t="n"/>
      <c r="O13" s="5" t="n"/>
    </row>
    <row r="14" ht="12" customHeight="1" s="1">
      <c r="B14" s="105" t="n"/>
      <c r="C14" s="106" t="n"/>
      <c r="D14" s="106" t="n"/>
      <c r="E14" s="106" t="n"/>
      <c r="F14" s="106" t="n"/>
      <c r="G14" s="106" t="n"/>
      <c r="H14" s="106" t="n"/>
      <c r="I14" s="106" t="n"/>
      <c r="J14" s="339" t="inlineStr">
        <is>
          <t>实际结果</t>
        </is>
      </c>
      <c r="K14" s="339" t="inlineStr">
        <is>
          <t>BUG</t>
        </is>
      </c>
      <c r="L14" s="339" t="inlineStr">
        <is>
          <t>备注</t>
        </is>
      </c>
      <c r="M14" s="339" t="inlineStr">
        <is>
          <t>测试版本</t>
        </is>
      </c>
      <c r="N14" s="339" t="inlineStr">
        <is>
          <t>实施者</t>
        </is>
      </c>
      <c r="O14" s="340" t="inlineStr">
        <is>
          <t>测试日期</t>
        </is>
      </c>
    </row>
    <row r="15" ht="128.4" customHeight="1" s="1">
      <c r="B15" s="288" t="n"/>
      <c r="C15" s="289" t="n"/>
      <c r="D15" s="291" t="n"/>
      <c r="E15" s="291" t="n"/>
      <c r="F15" s="291" t="n"/>
      <c r="G15" s="291" t="n"/>
      <c r="H15" s="289" t="n"/>
      <c r="I15" s="289" t="n"/>
      <c r="J15" s="292" t="n"/>
      <c r="K15" s="341" t="n"/>
      <c r="L15" s="342" t="n"/>
      <c r="M15" s="90" t="n"/>
      <c r="N15" s="295" t="n"/>
      <c r="O15" s="296" t="n"/>
    </row>
    <row r="16" ht="128.4" customHeight="1" s="1">
      <c r="B16" s="288" t="n"/>
      <c r="C16" s="289" t="n"/>
      <c r="D16" s="291" t="n"/>
      <c r="E16" s="291" t="n"/>
      <c r="F16" s="291" t="n"/>
      <c r="G16" s="291" t="n"/>
      <c r="H16" s="289" t="n"/>
      <c r="I16" s="289" t="n"/>
      <c r="J16" s="292" t="n"/>
      <c r="K16" s="292" t="n"/>
      <c r="L16" s="292" t="n"/>
      <c r="M16" s="90" t="n"/>
      <c r="N16" s="295" t="n"/>
      <c r="O16" s="296" t="n"/>
    </row>
    <row r="17" ht="17" customHeight="1" s="1"/>
    <row r="18" ht="17" customHeight="1" s="1"/>
    <row r="19" ht="17" customHeight="1" s="1">
      <c r="D19" s="111" t="n"/>
    </row>
    <row r="20" ht="17" customHeight="1" s="1"/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mergeCells count="10">
    <mergeCell ref="F13:F14"/>
    <mergeCell ref="H13:H14"/>
    <mergeCell ref="B2:C3"/>
    <mergeCell ref="B13:B14"/>
    <mergeCell ref="E13:E14"/>
    <mergeCell ref="D13:D14"/>
    <mergeCell ref="I13:I14"/>
    <mergeCell ref="J13:O13"/>
    <mergeCell ref="G13:G14"/>
    <mergeCell ref="C13:C14"/>
  </mergeCells>
  <conditionalFormatting sqref="E15">
    <cfRule type="expression" priority="20" dxfId="0" stopIfTrue="1">
      <formula>#REF!="变更删除"</formula>
    </cfRule>
    <cfRule type="expression" priority="21" dxfId="1" stopIfTrue="1">
      <formula>#REF!="删除"</formula>
    </cfRule>
  </conditionalFormatting>
  <conditionalFormatting sqref="F15">
    <cfRule type="expression" priority="4" dxfId="0" stopIfTrue="1">
      <formula>#REF!="变更删除"</formula>
    </cfRule>
    <cfRule type="expression" priority="5" dxfId="1" stopIfTrue="1">
      <formula>#REF!="删除"</formula>
    </cfRule>
  </conditionalFormatting>
  <conditionalFormatting sqref="G15">
    <cfRule type="expression" priority="6" dxfId="0" stopIfTrue="1">
      <formula>#REF!="变更删除"</formula>
    </cfRule>
    <cfRule type="expression" priority="7" dxfId="1" stopIfTrue="1">
      <formula>#REF!="删除"</formula>
    </cfRule>
  </conditionalFormatting>
  <conditionalFormatting sqref="H15:I15">
    <cfRule type="expression" priority="8" dxfId="0" stopIfTrue="1">
      <formula>#REF!="变更删除"</formula>
    </cfRule>
    <cfRule type="expression" priority="9" dxfId="1" stopIfTrue="1">
      <formula>#REF!="删除"</formula>
    </cfRule>
  </conditionalFormatting>
  <conditionalFormatting sqref="J15">
    <cfRule type="cellIs" priority="3" operator="equal" dxfId="2" stopIfTrue="1">
      <formula>#REF!</formula>
    </cfRule>
  </conditionalFormatting>
  <conditionalFormatting sqref="C16">
    <cfRule type="expression" priority="10" dxfId="0" stopIfTrue="1">
      <formula>#REF!="变更删除"</formula>
    </cfRule>
    <cfRule type="expression" priority="11" dxfId="1" stopIfTrue="1">
      <formula>#REF!="删除"</formula>
    </cfRule>
  </conditionalFormatting>
  <conditionalFormatting sqref="D16">
    <cfRule type="expression" priority="12" dxfId="0" stopIfTrue="1">
      <formula>#REF!="变更删除"</formula>
    </cfRule>
    <cfRule type="expression" priority="13" dxfId="1" stopIfTrue="1">
      <formula>#REF!="删除"</formula>
    </cfRule>
  </conditionalFormatting>
  <conditionalFormatting sqref="E16">
    <cfRule type="expression" priority="22" dxfId="0" stopIfTrue="1">
      <formula>#REF!="变更删除"</formula>
    </cfRule>
    <cfRule type="expression" priority="23" dxfId="1" stopIfTrue="1">
      <formula>#REF!="删除"</formula>
    </cfRule>
  </conditionalFormatting>
  <conditionalFormatting sqref="F16">
    <cfRule type="expression" priority="14" dxfId="0" stopIfTrue="1">
      <formula>#REF!="变更删除"</formula>
    </cfRule>
    <cfRule type="expression" priority="15" dxfId="1" stopIfTrue="1">
      <formula>#REF!="删除"</formula>
    </cfRule>
  </conditionalFormatting>
  <conditionalFormatting sqref="G16">
    <cfRule type="expression" priority="16" dxfId="0" stopIfTrue="1">
      <formula>#REF!="变更删除"</formula>
    </cfRule>
    <cfRule type="expression" priority="17" dxfId="1" stopIfTrue="1">
      <formula>#REF!="删除"</formula>
    </cfRule>
  </conditionalFormatting>
  <conditionalFormatting sqref="H16:I16">
    <cfRule type="expression" priority="18" dxfId="0" stopIfTrue="1">
      <formula>#REF!="变更删除"</formula>
    </cfRule>
    <cfRule type="expression" priority="19" dxfId="1" stopIfTrue="1">
      <formula>#REF!="删除"</formula>
    </cfRule>
  </conditionalFormatting>
  <conditionalFormatting sqref="J16">
    <cfRule type="cellIs" priority="2" operator="equal" dxfId="2" stopIfTrue="1">
      <formula>#REF!</formula>
    </cfRule>
  </conditionalFormatting>
  <conditionalFormatting sqref="M15:M16">
    <cfRule type="cellIs" priority="1" operator="equal" dxfId="2" stopIfTrue="1">
      <formula>#REF!</formula>
    </cfRule>
  </conditionalFormatting>
  <conditionalFormatting sqref="J13:J14 L14:O14">
    <cfRule type="cellIs" priority="25" operator="equal" dxfId="3" stopIfTrue="1">
      <formula>"BLOCK"</formula>
    </cfRule>
    <cfRule type="cellIs" priority="26" operator="equal" dxfId="4" stopIfTrue="1">
      <formula>"NG"</formula>
    </cfRule>
    <cfRule type="cellIs" priority="27" operator="equal" dxfId="5" stopIfTrue="1">
      <formula>"OK"</formula>
    </cfRule>
  </conditionalFormatting>
  <conditionalFormatting sqref="B15:D15 B16">
    <cfRule type="expression" priority="28" dxfId="0" stopIfTrue="1">
      <formula>#REF!="变更删除"</formula>
    </cfRule>
    <cfRule type="expression" priority="29" dxfId="1" stopIfTrue="1">
      <formula>#REF!="删除"</formula>
    </cfRule>
  </conditionalFormatting>
  <dataValidations count="1">
    <dataValidation sqref="H15:H16" showDropDown="0" showInputMessage="0" showErrorMessage="1" allowBlank="0" type="list">
      <formula1>"P0,P1,P2,P3,P4"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2:T20"/>
  <sheetViews>
    <sheetView showGridLines="0" topLeftCell="A12" workbookViewId="0">
      <selection activeCell="E17" sqref="E17"/>
    </sheetView>
  </sheetViews>
  <sheetFormatPr baseColWidth="8" defaultColWidth="13" defaultRowHeight="14.25"/>
  <cols>
    <col width="7.66666666666667" customWidth="1" style="1" min="1" max="1"/>
    <col width="17" customWidth="1" style="1" min="2" max="2"/>
    <col width="14" customWidth="1" style="1" min="3" max="3"/>
    <col width="13.2222222222222" customWidth="1" style="1" min="4" max="4"/>
    <col width="25" customWidth="1" style="1" min="5" max="5"/>
    <col width="42" customWidth="1" style="1" min="6" max="6"/>
    <col width="44" customWidth="1" style="1" min="7" max="7"/>
    <col width="11" customWidth="1" style="1" min="8" max="8"/>
    <col width="12" customWidth="1" style="1" min="9" max="9"/>
    <col width="14" customWidth="1" style="1" min="10" max="10"/>
    <col width="15" customWidth="1" style="1" min="11" max="11"/>
    <col width="28" customWidth="1" style="1" min="12" max="12"/>
    <col width="29" customWidth="1" style="1" min="13" max="13"/>
    <col width="14" customWidth="1" style="1" min="14" max="20"/>
  </cols>
  <sheetData>
    <row r="1" ht="17" customHeight="1" s="1"/>
    <row r="2" ht="24" customHeight="1" s="1">
      <c r="B2" s="270" t="inlineStr">
        <is>
          <t>稳定性测试</t>
        </is>
      </c>
      <c r="C2" s="64" t="n"/>
      <c r="D2" s="272" t="n"/>
      <c r="E2" s="278" t="n"/>
      <c r="F2" s="272" t="n"/>
      <c r="G2" s="272" t="n"/>
      <c r="H2" s="272" t="n"/>
      <c r="I2" s="272" t="n"/>
      <c r="J2" s="272" t="n"/>
      <c r="K2" s="272" t="n"/>
      <c r="L2" s="272" t="n"/>
      <c r="M2" s="272" t="n"/>
      <c r="N2" s="272" t="n"/>
      <c r="O2" s="272" t="n"/>
    </row>
    <row r="3" ht="12" customHeight="1" s="1">
      <c r="B3" s="67" t="n"/>
      <c r="C3" s="68" t="n"/>
      <c r="D3" s="272" t="n"/>
      <c r="E3" s="278" t="n"/>
      <c r="F3" s="272" t="n"/>
      <c r="G3" s="272" t="n"/>
      <c r="H3" s="272" t="n"/>
      <c r="I3" s="272" t="n"/>
      <c r="J3" s="272" t="n"/>
      <c r="K3" s="272" t="n"/>
      <c r="L3" s="272" t="n"/>
      <c r="M3" s="272" t="n"/>
      <c r="N3" s="272" t="n"/>
      <c r="O3" s="272" t="n"/>
    </row>
    <row r="4" ht="12" customHeight="1" s="1">
      <c r="B4" s="275" t="inlineStr">
        <is>
          <t>Total</t>
        </is>
      </c>
      <c r="C4" s="276">
        <f>COUNTA(B15:B79)</f>
        <v/>
      </c>
      <c r="D4" s="272" t="n"/>
      <c r="E4" s="278" t="n"/>
      <c r="F4" s="272" t="n"/>
      <c r="G4" s="272" t="n"/>
      <c r="H4" s="272" t="n"/>
      <c r="I4" s="272" t="n"/>
      <c r="J4" s="272" t="n"/>
      <c r="K4" s="272" t="n"/>
      <c r="L4" s="272" t="n"/>
      <c r="M4" s="272" t="n"/>
      <c r="N4" s="272" t="n"/>
      <c r="O4" s="272" t="n"/>
    </row>
    <row r="5" ht="12" customHeight="1" s="1">
      <c r="B5" s="275" t="inlineStr">
        <is>
          <t>Pass</t>
        </is>
      </c>
      <c r="C5" s="276">
        <f>COUNTIF(J15:J941,B5)</f>
        <v/>
      </c>
      <c r="D5" s="272" t="n"/>
      <c r="E5" s="278" t="n"/>
      <c r="F5" s="272" t="n"/>
      <c r="G5" s="272" t="n"/>
      <c r="H5" s="272" t="n"/>
      <c r="I5" s="272" t="n"/>
      <c r="J5" s="272" t="n"/>
      <c r="K5" s="272" t="n"/>
      <c r="L5" s="272" t="n"/>
      <c r="M5" s="272" t="n"/>
      <c r="N5" s="272" t="n"/>
      <c r="O5" s="272" t="n"/>
    </row>
    <row r="6" ht="12" customHeight="1" s="1">
      <c r="B6" s="275" t="inlineStr">
        <is>
          <t>Fail</t>
        </is>
      </c>
      <c r="C6" s="276">
        <f>COUNTIF(J15:J941,B6)</f>
        <v/>
      </c>
      <c r="D6" s="272" t="n"/>
      <c r="E6" s="278" t="n"/>
      <c r="F6" s="272" t="n"/>
      <c r="G6" s="272" t="n"/>
      <c r="H6" s="272" t="n"/>
      <c r="I6" s="272" t="n"/>
      <c r="J6" s="272" t="n"/>
      <c r="K6" s="272" t="n"/>
      <c r="L6" s="272" t="n"/>
      <c r="M6" s="272" t="n"/>
      <c r="N6" s="272" t="n"/>
      <c r="O6" s="272" t="n"/>
    </row>
    <row r="7" ht="12" customHeight="1" s="1">
      <c r="B7" s="275" t="inlineStr">
        <is>
          <t>NT</t>
        </is>
      </c>
      <c r="C7" s="276">
        <f>COUNTIF(J15:J941,B7)</f>
        <v/>
      </c>
      <c r="D7" s="272" t="n"/>
      <c r="E7" s="278" t="n"/>
      <c r="F7" s="272" t="n"/>
      <c r="G7" s="272" t="n"/>
      <c r="H7" s="272" t="n"/>
      <c r="I7" s="272" t="n"/>
      <c r="J7" s="272" t="n"/>
      <c r="K7" s="272" t="n"/>
      <c r="L7" s="272" t="n"/>
      <c r="M7" s="272" t="n"/>
      <c r="N7" s="272" t="n"/>
      <c r="O7" s="272" t="n"/>
    </row>
    <row r="8" ht="12" customHeight="1" s="1">
      <c r="B8" s="275" t="inlineStr">
        <is>
          <t>BLOCK</t>
        </is>
      </c>
      <c r="C8" s="276">
        <f>COUNTIF(J15:J941,B8)</f>
        <v/>
      </c>
      <c r="D8" s="272" t="n"/>
      <c r="E8" s="278" t="n"/>
      <c r="F8" s="272" t="n"/>
      <c r="G8" s="272" t="n"/>
      <c r="H8" s="272" t="n"/>
      <c r="I8" s="272" t="n"/>
      <c r="J8" s="272" t="n"/>
      <c r="K8" s="272" t="n"/>
      <c r="L8" s="272" t="n"/>
      <c r="M8" s="272" t="n"/>
      <c r="N8" s="272" t="n"/>
      <c r="O8" s="272" t="n"/>
    </row>
    <row r="9" ht="12" customHeight="1" s="1">
      <c r="B9" s="275" t="inlineStr">
        <is>
          <t>NA</t>
        </is>
      </c>
      <c r="C9" s="276">
        <f>COUNTIF(J15:J941,B9)</f>
        <v/>
      </c>
      <c r="D9" s="272" t="n"/>
      <c r="E9" s="278" t="n"/>
      <c r="F9" s="272" t="n"/>
      <c r="G9" s="272" t="n"/>
      <c r="H9" s="272" t="n"/>
      <c r="I9" s="272" t="n"/>
      <c r="J9" s="272" t="n"/>
      <c r="K9" s="272" t="n"/>
      <c r="L9" s="272" t="n"/>
      <c r="M9" s="272" t="n"/>
      <c r="N9" s="272" t="n"/>
      <c r="O9" s="272" t="n"/>
    </row>
    <row r="10" ht="12" customHeight="1" s="1">
      <c r="B10" s="275" t="inlineStr">
        <is>
          <t>Pass率</t>
        </is>
      </c>
      <c r="C10" s="279">
        <f>IFERROR(C5/(C4-C7-C9),"")</f>
        <v/>
      </c>
      <c r="D10" s="272" t="n"/>
      <c r="E10" s="278" t="n"/>
      <c r="F10" s="272" t="n"/>
      <c r="G10" s="272" t="n"/>
      <c r="H10" s="272" t="n"/>
      <c r="I10" s="272" t="n"/>
      <c r="J10" s="272" t="n"/>
      <c r="K10" s="272" t="n"/>
      <c r="L10" s="272" t="n"/>
      <c r="M10" s="272" t="n"/>
      <c r="N10" s="272" t="n"/>
      <c r="O10" s="272" t="n"/>
    </row>
    <row r="11" ht="12" customHeight="1" s="1">
      <c r="B11" s="280" t="inlineStr">
        <is>
          <t>Fail率</t>
        </is>
      </c>
      <c r="C11" s="281">
        <f>IFERROR(C6/(C4-C7-C9),"")</f>
        <v/>
      </c>
      <c r="D11" s="272" t="n"/>
      <c r="E11" s="278" t="n"/>
      <c r="F11" s="272" t="n"/>
      <c r="G11" s="272" t="n"/>
      <c r="H11" s="272" t="n"/>
      <c r="I11" s="272" t="n"/>
      <c r="J11" s="272" t="n"/>
      <c r="K11" s="272" t="n"/>
      <c r="L11" s="272" t="n"/>
      <c r="M11" s="272" t="n"/>
      <c r="N11" s="272" t="n"/>
      <c r="O11" s="272" t="n"/>
    </row>
    <row r="12" ht="12" customHeight="1" s="1"/>
    <row r="13" ht="15" customHeight="1" s="1">
      <c r="A13" s="282" t="inlineStr">
        <is>
          <t>测试用例ID</t>
        </is>
      </c>
      <c r="B13" s="283" t="inlineStr">
        <is>
          <t>测试类型</t>
        </is>
      </c>
      <c r="C13" s="283" t="inlineStr">
        <is>
          <t>需求ID</t>
        </is>
      </c>
      <c r="D13" s="283" t="inlineStr">
        <is>
          <t>测试用例描述</t>
        </is>
      </c>
      <c r="E13" s="283" t="inlineStr">
        <is>
          <t>前置条件</t>
        </is>
      </c>
      <c r="F13" s="283" t="inlineStr">
        <is>
          <t>测试步骤</t>
        </is>
      </c>
      <c r="G13" s="283" t="inlineStr">
        <is>
          <t>预期结果</t>
        </is>
      </c>
      <c r="H13" s="283" t="inlineStr">
        <is>
          <t>优先级</t>
        </is>
      </c>
      <c r="I13" s="283" t="inlineStr">
        <is>
          <t>版本变更记录</t>
        </is>
      </c>
      <c r="J13" s="284" t="inlineStr">
        <is>
          <t>Round1</t>
        </is>
      </c>
      <c r="K13" s="4" t="n"/>
      <c r="L13" s="4" t="n"/>
      <c r="M13" s="4" t="n"/>
      <c r="N13" s="4" t="n"/>
      <c r="O13" s="5" t="n"/>
    </row>
    <row r="14" ht="22.5" customHeight="1" s="1">
      <c r="A14" s="77" t="n"/>
      <c r="B14" s="78" t="n"/>
      <c r="C14" s="78" t="n"/>
      <c r="D14" s="78" t="n"/>
      <c r="E14" s="78" t="n"/>
      <c r="F14" s="78" t="n"/>
      <c r="G14" s="78" t="n"/>
      <c r="H14" s="78" t="n"/>
      <c r="I14" s="78" t="n"/>
      <c r="J14" s="285" t="inlineStr">
        <is>
          <t>实际结果</t>
        </is>
      </c>
      <c r="K14" s="285" t="inlineStr">
        <is>
          <t>BUG</t>
        </is>
      </c>
      <c r="L14" s="286" t="inlineStr">
        <is>
          <t>备注(测试结果的log及图片等打包对应插入此列)</t>
        </is>
      </c>
      <c r="M14" s="286" t="inlineStr">
        <is>
          <t>测试版本</t>
        </is>
      </c>
      <c r="N14" s="285" t="inlineStr">
        <is>
          <t>实施者</t>
        </is>
      </c>
      <c r="O14" s="287" t="inlineStr">
        <is>
          <t>测试日期</t>
        </is>
      </c>
    </row>
    <row r="15" ht="68" customHeight="1" s="1">
      <c r="A15" s="82" t="n"/>
      <c r="B15" s="343" t="n"/>
      <c r="C15" s="289" t="n"/>
      <c r="D15" s="291" t="n"/>
      <c r="E15" s="344" t="n"/>
      <c r="F15" s="344" t="n"/>
      <c r="G15" s="344" t="n"/>
      <c r="H15" s="289" t="n"/>
      <c r="I15" s="289" t="n"/>
      <c r="J15" s="292" t="n"/>
      <c r="K15" s="294" t="n"/>
      <c r="L15" s="345" t="n"/>
      <c r="M15" s="90" t="n"/>
      <c r="N15" s="295" t="n"/>
      <c r="O15" s="296" t="n"/>
    </row>
    <row r="16" ht="68" customHeight="1" s="1">
      <c r="A16" s="93" t="n"/>
      <c r="B16" s="343" t="n"/>
      <c r="C16" s="289" t="n"/>
      <c r="D16" s="291" t="n"/>
      <c r="E16" s="344" t="n"/>
      <c r="F16" s="344" t="n"/>
      <c r="G16" s="344" t="n"/>
      <c r="H16" s="289" t="n"/>
      <c r="I16" s="289" t="n"/>
      <c r="J16" s="292" t="n"/>
      <c r="K16" s="294" t="n"/>
      <c r="L16" s="346" t="n"/>
      <c r="M16" s="90" t="n"/>
      <c r="N16" s="295" t="n"/>
      <c r="O16" s="296" t="n"/>
    </row>
    <row r="17" ht="78.75" customHeight="1" s="1">
      <c r="A17" s="288" t="n"/>
      <c r="B17" s="289" t="n"/>
      <c r="C17" s="347" t="n"/>
      <c r="D17" s="291" t="n"/>
      <c r="E17" s="291" t="n"/>
      <c r="F17" s="291" t="n"/>
      <c r="G17" s="291" t="n"/>
      <c r="H17" s="289" t="n"/>
      <c r="I17" s="292" t="n"/>
      <c r="J17" s="292" t="n"/>
      <c r="K17" s="294" t="n"/>
      <c r="L17" s="346" t="n"/>
      <c r="M17" s="90" t="n"/>
      <c r="N17" s="295" t="n"/>
      <c r="O17" s="296" t="n"/>
      <c r="Q17" s="32" t="n"/>
      <c r="R17" s="32" t="n"/>
      <c r="S17" s="32" t="n"/>
      <c r="T17" s="32" t="n"/>
    </row>
    <row r="18" ht="78.75" customHeight="1" s="1">
      <c r="A18" s="288" t="n"/>
      <c r="B18" s="289" t="n"/>
      <c r="C18" s="347" t="n"/>
      <c r="D18" s="291" t="n"/>
      <c r="E18" s="291" t="n"/>
      <c r="F18" s="291" t="n"/>
      <c r="G18" s="291" t="n"/>
      <c r="H18" s="289" t="n"/>
      <c r="I18" s="292" t="n"/>
      <c r="J18" s="292" t="n"/>
      <c r="K18" s="294" t="n"/>
      <c r="L18" s="346" t="n"/>
      <c r="M18" s="90" t="n"/>
      <c r="N18" s="295" t="n"/>
      <c r="O18" s="296" t="n"/>
      <c r="Q18" s="32" t="n"/>
      <c r="R18" s="32" t="n"/>
      <c r="S18" s="32" t="n"/>
      <c r="T18" s="32" t="n"/>
    </row>
    <row r="19" ht="78.75" customHeight="1" s="1">
      <c r="A19" s="288" t="n"/>
      <c r="B19" s="289" t="n"/>
      <c r="C19" s="347" t="n"/>
      <c r="D19" s="291" t="n"/>
      <c r="E19" s="291" t="n"/>
      <c r="F19" s="291" t="n"/>
      <c r="G19" s="291" t="n"/>
      <c r="H19" s="289" t="n"/>
      <c r="I19" s="292" t="n"/>
      <c r="J19" s="292" t="n"/>
      <c r="K19" s="294" t="n"/>
      <c r="L19" s="346" t="n"/>
      <c r="M19" s="90" t="n"/>
      <c r="N19" s="295" t="n"/>
      <c r="O19" s="296" t="n"/>
      <c r="Q19" s="32" t="n"/>
      <c r="R19" s="32" t="n"/>
      <c r="S19" s="32" t="n"/>
      <c r="T19" s="32" t="n"/>
    </row>
    <row r="20" ht="78.75" customHeight="1" s="1">
      <c r="A20" s="288" t="n"/>
      <c r="B20" s="289" t="n"/>
      <c r="C20" s="348" t="n"/>
      <c r="D20" s="349" t="n"/>
      <c r="E20" s="349" t="n"/>
      <c r="F20" s="350" t="n"/>
      <c r="G20" s="291" t="n"/>
      <c r="H20" s="289" t="n"/>
      <c r="I20" s="292" t="n"/>
      <c r="J20" s="292" t="n"/>
      <c r="K20" s="294" t="n"/>
      <c r="L20" s="351" t="n"/>
      <c r="M20" s="90" t="n"/>
      <c r="N20" s="295" t="n"/>
      <c r="O20" s="296" t="n"/>
      <c r="Q20" s="32" t="n"/>
      <c r="R20" s="32" t="n"/>
      <c r="S20" s="32" t="n"/>
      <c r="T20" s="32" t="n"/>
    </row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mergeCells count="12">
    <mergeCell ref="F13:F14"/>
    <mergeCell ref="H13:H14"/>
    <mergeCell ref="B2:C3"/>
    <mergeCell ref="A13:A14"/>
    <mergeCell ref="B13:B14"/>
    <mergeCell ref="E13:E14"/>
    <mergeCell ref="D13:D14"/>
    <mergeCell ref="I13:I14"/>
    <mergeCell ref="J13:O13"/>
    <mergeCell ref="G13:G14"/>
    <mergeCell ref="L15:L20"/>
    <mergeCell ref="C13:C14"/>
  </mergeCells>
  <conditionalFormatting sqref="C15:E15">
    <cfRule type="expression" priority="16" dxfId="0" stopIfTrue="1">
      <formula>#REF!="变更删除"</formula>
    </cfRule>
    <cfRule type="expression" priority="17" dxfId="1" stopIfTrue="1">
      <formula>#REF!="删除"</formula>
    </cfRule>
  </conditionalFormatting>
  <conditionalFormatting sqref="F15">
    <cfRule type="expression" priority="18" dxfId="0" stopIfTrue="1">
      <formula>#REF!="变更删除"</formula>
    </cfRule>
    <cfRule type="expression" priority="19" dxfId="1" stopIfTrue="1">
      <formula>#REF!="删除"</formula>
    </cfRule>
  </conditionalFormatting>
  <conditionalFormatting sqref="G15">
    <cfRule type="expression" priority="20" dxfId="0" stopIfTrue="1">
      <formula>#REF!="变更删除"</formula>
    </cfRule>
    <cfRule type="expression" priority="21" dxfId="1" stopIfTrue="1">
      <formula>#REF!="删除"</formula>
    </cfRule>
  </conditionalFormatting>
  <conditionalFormatting sqref="H15:I15">
    <cfRule type="expression" priority="22" dxfId="0" stopIfTrue="1">
      <formula>#REF!="变更删除"</formula>
    </cfRule>
    <cfRule type="expression" priority="23" dxfId="1" stopIfTrue="1">
      <formula>#REF!="删除"</formula>
    </cfRule>
  </conditionalFormatting>
  <conditionalFormatting sqref="J15">
    <cfRule type="cellIs" priority="7" operator="equal" dxfId="2" stopIfTrue="1">
      <formula>#REF!</formula>
    </cfRule>
  </conditionalFormatting>
  <conditionalFormatting sqref="C16:E16">
    <cfRule type="expression" priority="25" dxfId="0" stopIfTrue="1">
      <formula>#REF!="变更删除"</formula>
    </cfRule>
    <cfRule type="expression" priority="26" dxfId="1" stopIfTrue="1">
      <formula>#REF!="删除"</formula>
    </cfRule>
  </conditionalFormatting>
  <conditionalFormatting sqref="F16">
    <cfRule type="expression" priority="27" dxfId="0" stopIfTrue="1">
      <formula>#REF!="变更删除"</formula>
    </cfRule>
    <cfRule type="expression" priority="28" dxfId="1" stopIfTrue="1">
      <formula>#REF!="删除"</formula>
    </cfRule>
  </conditionalFormatting>
  <conditionalFormatting sqref="G16">
    <cfRule type="expression" priority="29" dxfId="0" stopIfTrue="1">
      <formula>#REF!="变更删除"</formula>
    </cfRule>
    <cfRule type="expression" priority="30" dxfId="1" stopIfTrue="1">
      <formula>#REF!="删除"</formula>
    </cfRule>
  </conditionalFormatting>
  <conditionalFormatting sqref="H16:I16">
    <cfRule type="expression" priority="31" dxfId="0" stopIfTrue="1">
      <formula>#REF!="变更删除"</formula>
    </cfRule>
    <cfRule type="expression" priority="32" dxfId="1" stopIfTrue="1">
      <formula>#REF!="删除"</formula>
    </cfRule>
  </conditionalFormatting>
  <conditionalFormatting sqref="J16">
    <cfRule type="cellIs" priority="6" operator="equal" dxfId="2" stopIfTrue="1">
      <formula>#REF!</formula>
    </cfRule>
  </conditionalFormatting>
  <conditionalFormatting sqref="J17">
    <cfRule type="cellIs" priority="5" operator="equal" dxfId="2" stopIfTrue="1">
      <formula>#REF!</formula>
    </cfRule>
  </conditionalFormatting>
  <conditionalFormatting sqref="J18">
    <cfRule type="cellIs" priority="4" operator="equal" dxfId="2" stopIfTrue="1">
      <formula>#REF!</formula>
    </cfRule>
  </conditionalFormatting>
  <conditionalFormatting sqref="J19">
    <cfRule type="cellIs" priority="3" operator="equal" dxfId="2" stopIfTrue="1">
      <formula>#REF!</formula>
    </cfRule>
  </conditionalFormatting>
  <conditionalFormatting sqref="J20">
    <cfRule type="cellIs" priority="2" operator="equal" dxfId="2" stopIfTrue="1">
      <formula>#REF!</formula>
    </cfRule>
  </conditionalFormatting>
  <conditionalFormatting sqref="B15:B16">
    <cfRule type="expression" priority="37" dxfId="0" stopIfTrue="1">
      <formula>#REF!="变更删除"</formula>
    </cfRule>
    <cfRule type="expression" priority="38" dxfId="1" stopIfTrue="1">
      <formula>#REF!="删除"</formula>
    </cfRule>
  </conditionalFormatting>
  <conditionalFormatting sqref="M15:M20">
    <cfRule type="cellIs" priority="1" operator="equal" dxfId="2" stopIfTrue="1">
      <formula>#REF!</formula>
    </cfRule>
  </conditionalFormatting>
  <conditionalFormatting sqref="J13:J14 L14:O14">
    <cfRule type="cellIs" priority="10" operator="equal" dxfId="5" stopIfTrue="1">
      <formula>"OK"</formula>
    </cfRule>
    <cfRule type="cellIs" priority="9" operator="equal" dxfId="4" stopIfTrue="1">
      <formula>"NG"</formula>
    </cfRule>
    <cfRule type="cellIs" priority="8" operator="equal" dxfId="3" stopIfTrue="1">
      <formula>"BLOCK"</formula>
    </cfRule>
  </conditionalFormatting>
  <dataValidations count="1">
    <dataValidation sqref="H15:H16" showDropDown="0" showInputMessage="0" showErrorMessage="1" allowBlank="0" type="list">
      <formula1>"P0,P1,P2,P3,P4"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200"/>
  <sheetViews>
    <sheetView topLeftCell="F1" workbookViewId="0">
      <selection activeCell="L4" sqref="C3:L4"/>
    </sheetView>
  </sheetViews>
  <sheetFormatPr baseColWidth="8" defaultColWidth="13" defaultRowHeight="14.25"/>
  <cols>
    <col width="3" customWidth="1" style="1" min="1" max="1"/>
    <col width="9" customWidth="1" style="1" min="2" max="2"/>
    <col width="17" customWidth="1" style="1" min="3" max="3"/>
    <col width="27" customWidth="1" style="1" min="4" max="4"/>
    <col width="56" customWidth="1" style="1" min="5" max="5"/>
    <col width="30" customWidth="1" style="1" min="6" max="6"/>
    <col width="14" customWidth="1" style="1" min="7" max="7"/>
    <col width="12" customWidth="1" style="1" min="8" max="8"/>
    <col width="11" customWidth="1" style="1" min="9" max="10"/>
    <col width="10" customWidth="1" style="1" min="11" max="11"/>
    <col width="18" customWidth="1" style="1" min="12" max="12"/>
    <col width="9" customWidth="1" style="1" min="13" max="20"/>
  </cols>
  <sheetData>
    <row r="1" ht="17" customHeight="1" s="1">
      <c r="B1" s="33" t="n"/>
    </row>
    <row r="2" ht="31" customHeight="1" s="1">
      <c r="B2" s="34" t="inlineStr">
        <is>
          <t>No.</t>
        </is>
      </c>
      <c r="C2" s="35" t="inlineStr">
        <is>
          <t>Bug ID</t>
        </is>
      </c>
      <c r="D2" s="35" t="inlineStr">
        <is>
          <t>Module</t>
        </is>
      </c>
      <c r="E2" s="36" t="inlineStr">
        <is>
          <t>Description</t>
        </is>
      </c>
      <c r="F2" s="36" t="inlineStr">
        <is>
          <t>Version</t>
        </is>
      </c>
      <c r="G2" s="36" t="inlineStr">
        <is>
          <t>Severity</t>
        </is>
      </c>
      <c r="H2" s="36" t="inlineStr">
        <is>
          <t>Status</t>
        </is>
      </c>
      <c r="I2" s="36" t="inlineStr">
        <is>
          <t>Tester</t>
        </is>
      </c>
      <c r="J2" s="35" t="inlineStr">
        <is>
          <t>Date</t>
        </is>
      </c>
      <c r="K2" s="35" t="inlineStr">
        <is>
          <t>Effective</t>
        </is>
      </c>
      <c r="L2" s="37" t="inlineStr">
        <is>
          <t>Comment</t>
        </is>
      </c>
    </row>
    <row r="3" ht="41" customHeight="1" s="1">
      <c r="B3" s="38" t="n"/>
      <c r="C3" s="39" t="n"/>
      <c r="D3" s="352" t="n"/>
      <c r="E3" s="41" t="n"/>
      <c r="F3" s="42" t="n"/>
      <c r="G3" s="43" t="n"/>
      <c r="H3" s="43" t="n"/>
      <c r="I3" s="311" t="n"/>
      <c r="J3" s="353" t="n"/>
      <c r="K3" s="46" t="n"/>
      <c r="L3" s="47" t="n"/>
    </row>
    <row r="4" ht="41" customHeight="1" s="1">
      <c r="B4" s="38" t="n"/>
      <c r="C4" s="39" t="n"/>
      <c r="D4" s="48" t="n"/>
      <c r="E4" s="41" t="n"/>
      <c r="F4" s="42" t="n"/>
      <c r="G4" s="43" t="n"/>
      <c r="H4" s="43" t="n"/>
      <c r="I4" s="311" t="n"/>
      <c r="J4" s="353" t="n"/>
      <c r="K4" s="46" t="n"/>
      <c r="L4" s="47" t="n"/>
    </row>
    <row r="5" ht="41" customHeight="1" s="1">
      <c r="B5" s="38" t="n"/>
      <c r="C5" s="49" t="n"/>
      <c r="D5" s="50" t="n"/>
      <c r="E5" s="43" t="n"/>
      <c r="F5" s="43" t="n"/>
      <c r="G5" s="43" t="n"/>
      <c r="H5" s="43" t="n"/>
      <c r="I5" s="43" t="n"/>
      <c r="J5" s="354" t="n"/>
      <c r="K5" s="52" t="n"/>
      <c r="L5" s="47" t="n"/>
    </row>
    <row r="6" ht="41" customHeight="1" s="1">
      <c r="B6" s="38" t="n"/>
      <c r="C6" s="49" t="n"/>
      <c r="D6" s="50" t="n"/>
      <c r="E6" s="43" t="n"/>
      <c r="F6" s="43" t="n"/>
      <c r="G6" s="43" t="n"/>
      <c r="H6" s="43" t="n"/>
      <c r="I6" s="43" t="n"/>
      <c r="J6" s="354" t="n"/>
      <c r="K6" s="52" t="n"/>
      <c r="L6" s="47" t="n"/>
    </row>
    <row r="7" ht="41" customHeight="1" s="1">
      <c r="B7" s="53" t="n"/>
      <c r="C7" s="54" t="n"/>
      <c r="D7" s="54" t="n"/>
      <c r="E7" s="55" t="n"/>
      <c r="F7" s="55" t="n"/>
      <c r="G7" s="55" t="n"/>
      <c r="H7" s="55" t="n"/>
      <c r="I7" s="55" t="n"/>
      <c r="J7" s="355" t="n"/>
      <c r="K7" s="355" t="n"/>
      <c r="L7" s="57" t="n"/>
    </row>
    <row r="8" ht="17" customHeight="1" s="1">
      <c r="B8" s="33" t="n"/>
    </row>
    <row r="9" ht="17" customHeight="1" s="1">
      <c r="B9" s="33" t="n"/>
    </row>
    <row r="10" ht="17" customHeight="1" s="1">
      <c r="B10" s="33" t="n"/>
    </row>
    <row r="11" ht="17" customHeight="1" s="1">
      <c r="B11" s="33" t="n"/>
    </row>
    <row r="12" ht="17" customHeight="1" s="1">
      <c r="B12" s="33" t="n"/>
    </row>
    <row r="13" ht="17" customHeight="1" s="1">
      <c r="B13" s="33" t="n"/>
    </row>
    <row r="14" ht="17" customHeight="1" s="1">
      <c r="B14" s="33" t="n"/>
    </row>
    <row r="15" ht="17" customHeight="1" s="1">
      <c r="B15" s="33" t="n"/>
    </row>
    <row r="16" ht="17" customHeight="1" s="1">
      <c r="B16" s="33" t="n"/>
    </row>
    <row r="17" ht="17" customHeight="1" s="1">
      <c r="B17" s="33" t="n"/>
    </row>
    <row r="18" ht="28" customHeight="1" s="1"/>
    <row r="19" ht="28" customHeight="1" s="1"/>
    <row r="20" ht="28" customHeight="1" s="1"/>
    <row r="21" ht="28" customHeight="1" s="1"/>
    <row r="22" ht="17" customHeight="1" s="1">
      <c r="A22" s="33" t="n"/>
      <c r="B22" s="33" t="n"/>
    </row>
    <row r="23" ht="17" customHeight="1" s="1">
      <c r="A23" s="33" t="n"/>
      <c r="B23" s="33" t="n"/>
    </row>
    <row r="24" ht="17" customHeight="1" s="1">
      <c r="A24" s="33" t="n"/>
      <c r="B24" s="33" t="n"/>
    </row>
    <row r="25" ht="17" customHeight="1" s="1">
      <c r="A25" s="33" t="n"/>
      <c r="B25" s="33" t="n"/>
    </row>
    <row r="26" ht="17" customHeight="1" s="1">
      <c r="A26" s="33" t="n"/>
      <c r="B26" s="33" t="n"/>
      <c r="C26" s="58" t="n"/>
      <c r="D26" s="58" t="n"/>
      <c r="E26" s="58" t="n"/>
      <c r="F26" s="58" t="n"/>
      <c r="G26" s="59" t="n"/>
      <c r="H26" s="59" t="n"/>
      <c r="I26" s="59" t="n"/>
      <c r="J26" s="59" t="n"/>
      <c r="K26" s="60" t="n"/>
      <c r="L26" s="59" t="n"/>
    </row>
    <row r="27" ht="17" customHeight="1" s="1">
      <c r="A27" s="58" t="n"/>
      <c r="B27" s="58" t="n"/>
      <c r="C27" s="61" t="n"/>
      <c r="D27" s="58" t="n"/>
      <c r="E27" s="58" t="n"/>
      <c r="F27" s="58" t="n"/>
      <c r="G27" s="59" t="n"/>
      <c r="H27" s="59" t="n"/>
      <c r="I27" s="59" t="n"/>
      <c r="J27" s="59" t="n"/>
      <c r="K27" s="60" t="n"/>
      <c r="L27" s="59" t="n"/>
    </row>
    <row r="28" ht="17" customHeight="1" s="1">
      <c r="A28" s="356" t="n"/>
      <c r="B28" s="356" t="n"/>
      <c r="C28" s="58" t="n"/>
      <c r="D28" s="58" t="n"/>
      <c r="E28" s="58" t="n"/>
      <c r="F28" s="58" t="n"/>
      <c r="G28" s="59" t="n"/>
      <c r="H28" s="59" t="n"/>
      <c r="I28" s="59" t="n"/>
      <c r="J28" s="59" t="n"/>
      <c r="K28" s="60" t="n"/>
      <c r="L28" s="59" t="n"/>
    </row>
    <row r="29" ht="17" customHeight="1" s="1">
      <c r="A29" s="356" t="n"/>
      <c r="B29" s="356" t="n"/>
      <c r="C29" s="58" t="n"/>
      <c r="D29" s="58" t="n"/>
      <c r="E29" s="58" t="n"/>
      <c r="F29" s="58" t="n"/>
      <c r="G29" s="59" t="n"/>
      <c r="H29" s="59" t="n"/>
      <c r="I29" s="59" t="n"/>
      <c r="J29" s="59" t="n"/>
      <c r="K29" s="60" t="n"/>
      <c r="L29" s="59" t="n"/>
    </row>
    <row r="30" ht="17" customHeight="1" s="1">
      <c r="A30" s="356" t="n"/>
      <c r="B30" s="356" t="n"/>
      <c r="C30" s="58" t="n"/>
      <c r="D30" s="58" t="n"/>
      <c r="E30" s="58" t="n"/>
      <c r="F30" s="58" t="n"/>
      <c r="G30" s="59" t="n"/>
      <c r="H30" s="59" t="n"/>
      <c r="I30" s="59" t="n"/>
      <c r="J30" s="59" t="n"/>
      <c r="K30" s="60" t="n"/>
      <c r="L30" s="59" t="n"/>
    </row>
    <row r="31" ht="17" customHeight="1" s="1">
      <c r="A31" s="356" t="n"/>
      <c r="B31" s="356" t="n"/>
      <c r="C31" s="58" t="n"/>
      <c r="D31" s="58" t="n"/>
      <c r="E31" s="58" t="n"/>
      <c r="F31" s="58" t="n"/>
      <c r="G31" s="59" t="n"/>
      <c r="H31" s="59" t="n"/>
      <c r="I31" s="59" t="n"/>
      <c r="J31" s="59" t="n"/>
      <c r="K31" s="60" t="n"/>
      <c r="L31" s="59" t="n"/>
    </row>
    <row r="32" ht="17" customHeight="1" s="1">
      <c r="A32" s="356" t="n"/>
      <c r="B32" s="356" t="n"/>
      <c r="C32" s="58" t="n"/>
      <c r="D32" s="58" t="n"/>
      <c r="E32" s="58" t="n"/>
      <c r="F32" s="58" t="n"/>
      <c r="G32" s="59" t="n"/>
      <c r="H32" s="59" t="n"/>
      <c r="I32" s="59" t="n"/>
      <c r="J32" s="59" t="n"/>
      <c r="K32" s="60" t="n"/>
      <c r="L32" s="59" t="n"/>
    </row>
    <row r="33" ht="17" customHeight="1" s="1">
      <c r="A33" s="356" t="n"/>
      <c r="B33" s="356" t="n"/>
      <c r="C33" s="58" t="n"/>
      <c r="D33" s="58" t="n"/>
      <c r="E33" s="58" t="n"/>
      <c r="F33" s="58" t="n"/>
      <c r="G33" s="59" t="n"/>
      <c r="H33" s="59" t="n"/>
      <c r="I33" s="59" t="n"/>
      <c r="J33" s="59" t="n"/>
      <c r="K33" s="60" t="n"/>
      <c r="L33" s="59" t="n"/>
    </row>
    <row r="34" ht="17" customHeight="1" s="1">
      <c r="A34" s="356" t="n"/>
      <c r="B34" s="356" t="n"/>
      <c r="C34" s="58" t="n"/>
      <c r="D34" s="58" t="n"/>
      <c r="E34" s="58" t="n"/>
      <c r="F34" s="58" t="n"/>
      <c r="G34" s="59" t="n"/>
      <c r="H34" s="59" t="n"/>
      <c r="I34" s="59" t="n"/>
      <c r="J34" s="59" t="n"/>
      <c r="K34" s="60" t="n"/>
      <c r="L34" s="59" t="n"/>
    </row>
    <row r="35" ht="17" customHeight="1" s="1">
      <c r="A35" s="356" t="n"/>
      <c r="B35" s="356" t="n"/>
      <c r="C35" s="58" t="n"/>
      <c r="D35" s="58" t="n"/>
      <c r="E35" s="58" t="n"/>
      <c r="F35" s="58" t="n"/>
      <c r="G35" s="59" t="n"/>
      <c r="H35" s="59" t="n"/>
      <c r="I35" s="59" t="n"/>
      <c r="J35" s="59" t="n"/>
      <c r="K35" s="60" t="n"/>
      <c r="L35" s="59" t="n"/>
    </row>
    <row r="36" ht="17" customHeight="1" s="1">
      <c r="A36" s="356" t="n"/>
      <c r="B36" s="356" t="n"/>
      <c r="C36" s="58" t="n"/>
      <c r="D36" s="58" t="n"/>
      <c r="E36" s="58" t="n"/>
      <c r="F36" s="58" t="n"/>
      <c r="G36" s="59" t="n"/>
      <c r="H36" s="59" t="n"/>
      <c r="I36" s="59" t="n"/>
      <c r="J36" s="59" t="n"/>
      <c r="K36" s="60" t="n"/>
      <c r="L36" s="59" t="n"/>
    </row>
    <row r="37" ht="17" customHeight="1" s="1">
      <c r="A37" s="356" t="n"/>
      <c r="B37" s="356" t="n"/>
      <c r="C37" s="58" t="n"/>
      <c r="D37" s="58" t="n"/>
      <c r="E37" s="58" t="n"/>
      <c r="F37" s="58" t="n"/>
      <c r="G37" s="59" t="n"/>
      <c r="H37" s="59" t="n"/>
      <c r="I37" s="59" t="n"/>
      <c r="J37" s="59" t="n"/>
      <c r="K37" s="60" t="n"/>
      <c r="L37" s="59" t="n"/>
    </row>
    <row r="38" ht="17" customHeight="1" s="1">
      <c r="A38" s="356" t="n"/>
      <c r="B38" s="356" t="n"/>
      <c r="C38" s="58" t="n"/>
      <c r="D38" s="58" t="n"/>
      <c r="E38" s="58" t="n"/>
      <c r="F38" s="58" t="n"/>
      <c r="G38" s="59" t="n"/>
      <c r="H38" s="59" t="n"/>
      <c r="I38" s="59" t="n"/>
      <c r="J38" s="59" t="n"/>
      <c r="K38" s="60" t="n"/>
      <c r="L38" s="59" t="n"/>
    </row>
    <row r="39" ht="17" customHeight="1" s="1">
      <c r="A39" s="356" t="n"/>
      <c r="B39" s="356" t="n"/>
      <c r="C39" s="58" t="n"/>
      <c r="D39" s="58" t="n"/>
      <c r="E39" s="58" t="n"/>
      <c r="F39" s="58" t="n"/>
      <c r="G39" s="59" t="n"/>
      <c r="H39" s="59" t="n"/>
      <c r="I39" s="59" t="n"/>
      <c r="J39" s="59" t="n"/>
      <c r="K39" s="60" t="n"/>
      <c r="L39" s="59" t="n"/>
    </row>
    <row r="40" ht="17" customHeight="1" s="1">
      <c r="A40" s="356" t="n"/>
      <c r="B40" s="356" t="n"/>
      <c r="C40" s="58" t="n"/>
      <c r="D40" s="58" t="n"/>
      <c r="E40" s="58" t="n"/>
      <c r="F40" s="58" t="n"/>
      <c r="G40" s="59" t="n"/>
      <c r="H40" s="59" t="n"/>
      <c r="I40" s="59" t="n"/>
      <c r="J40" s="59" t="n"/>
      <c r="K40" s="60" t="n"/>
      <c r="L40" s="59" t="n"/>
    </row>
    <row r="41" ht="17" customHeight="1" s="1">
      <c r="A41" s="356" t="n"/>
      <c r="B41" s="356" t="n"/>
      <c r="C41" s="58" t="n"/>
      <c r="D41" s="58" t="n"/>
      <c r="E41" s="58" t="n"/>
      <c r="F41" s="58" t="n"/>
      <c r="G41" s="59" t="n"/>
      <c r="H41" s="59" t="n"/>
      <c r="I41" s="59" t="n"/>
      <c r="J41" s="59" t="n"/>
      <c r="K41" s="60" t="n"/>
      <c r="L41" s="59" t="n"/>
    </row>
    <row r="42" ht="17" customHeight="1" s="1">
      <c r="A42" s="356" t="n"/>
      <c r="B42" s="356" t="n"/>
      <c r="C42" s="58" t="n"/>
      <c r="D42" s="58" t="n"/>
      <c r="E42" s="58" t="n"/>
      <c r="F42" s="58" t="n"/>
      <c r="G42" s="59" t="n"/>
      <c r="H42" s="59" t="n"/>
      <c r="I42" s="59" t="n"/>
      <c r="J42" s="59" t="n"/>
      <c r="K42" s="60" t="n"/>
      <c r="L42" s="59" t="n"/>
    </row>
    <row r="43" ht="17" customHeight="1" s="1">
      <c r="A43" s="356" t="n"/>
      <c r="B43" s="356" t="n"/>
      <c r="C43" s="58" t="n"/>
      <c r="D43" s="58" t="n"/>
      <c r="E43" s="58" t="n"/>
      <c r="F43" s="58" t="n"/>
      <c r="G43" s="59" t="n"/>
      <c r="H43" s="59" t="n"/>
      <c r="I43" s="59" t="n"/>
      <c r="J43" s="59" t="n"/>
      <c r="K43" s="60" t="n"/>
      <c r="L43" s="59" t="n"/>
    </row>
    <row r="44" ht="17" customHeight="1" s="1">
      <c r="A44" s="356" t="n"/>
      <c r="B44" s="356" t="n"/>
      <c r="C44" s="58" t="n"/>
      <c r="D44" s="58" t="n"/>
      <c r="E44" s="58" t="n"/>
      <c r="F44" s="58" t="n"/>
      <c r="G44" s="59" t="n"/>
      <c r="H44" s="59" t="n"/>
      <c r="I44" s="59" t="n"/>
      <c r="J44" s="59" t="n"/>
      <c r="K44" s="60" t="n"/>
      <c r="L44" s="59" t="n"/>
    </row>
    <row r="45" ht="17" customHeight="1" s="1">
      <c r="A45" s="356" t="n"/>
      <c r="B45" s="356" t="n"/>
      <c r="C45" s="58" t="n"/>
      <c r="D45" s="58" t="n"/>
      <c r="E45" s="58" t="n"/>
      <c r="F45" s="58" t="n"/>
      <c r="G45" s="59" t="n"/>
      <c r="H45" s="59" t="n"/>
      <c r="I45" s="59" t="n"/>
      <c r="J45" s="59" t="n"/>
      <c r="K45" s="60" t="n"/>
      <c r="L45" s="59" t="n"/>
    </row>
    <row r="46" ht="17" customHeight="1" s="1">
      <c r="A46" s="356" t="n"/>
      <c r="B46" s="356" t="n"/>
      <c r="C46" s="58" t="n"/>
      <c r="D46" s="58" t="n"/>
      <c r="E46" s="58" t="n"/>
      <c r="F46" s="58" t="n"/>
      <c r="G46" s="59" t="n"/>
      <c r="H46" s="59" t="n"/>
      <c r="I46" s="59" t="n"/>
      <c r="J46" s="59" t="n"/>
      <c r="K46" s="60" t="n"/>
      <c r="L46" s="59" t="n"/>
    </row>
    <row r="47" ht="17" customHeight="1" s="1">
      <c r="A47" s="356" t="n"/>
      <c r="B47" s="356" t="n"/>
      <c r="C47" s="58" t="n"/>
      <c r="D47" s="58" t="n"/>
      <c r="E47" s="58" t="n"/>
      <c r="F47" s="58" t="n"/>
      <c r="G47" s="59" t="n"/>
      <c r="H47" s="59" t="n"/>
      <c r="I47" s="59" t="n"/>
      <c r="J47" s="59" t="n"/>
      <c r="K47" s="60" t="n"/>
      <c r="L47" s="59" t="n"/>
    </row>
    <row r="48" ht="17" customHeight="1" s="1">
      <c r="A48" s="356" t="n"/>
      <c r="B48" s="356" t="n"/>
      <c r="C48" s="58" t="n"/>
      <c r="D48" s="58" t="n"/>
      <c r="E48" s="58" t="n"/>
      <c r="F48" s="58" t="n"/>
      <c r="G48" s="59" t="n"/>
      <c r="H48" s="59" t="n"/>
      <c r="I48" s="59" t="n"/>
      <c r="J48" s="59" t="n"/>
      <c r="K48" s="60" t="n"/>
      <c r="L48" s="59" t="n"/>
    </row>
    <row r="49" ht="17" customHeight="1" s="1">
      <c r="A49" s="356" t="n"/>
      <c r="B49" s="356" t="n"/>
      <c r="C49" s="58" t="n"/>
      <c r="D49" s="58" t="n"/>
      <c r="E49" s="58" t="n"/>
      <c r="F49" s="58" t="n"/>
      <c r="G49" s="59" t="n"/>
      <c r="H49" s="59" t="n"/>
      <c r="I49" s="59" t="n"/>
      <c r="J49" s="59" t="n"/>
      <c r="K49" s="60" t="n"/>
      <c r="L49" s="59" t="n"/>
    </row>
    <row r="50" ht="17" customHeight="1" s="1">
      <c r="A50" s="356" t="n"/>
      <c r="B50" s="356" t="n"/>
      <c r="C50" s="58" t="n"/>
      <c r="D50" s="58" t="n"/>
      <c r="E50" s="58" t="n"/>
      <c r="F50" s="58" t="n"/>
      <c r="G50" s="59" t="n"/>
      <c r="H50" s="59" t="n"/>
      <c r="I50" s="59" t="n"/>
      <c r="J50" s="59" t="n"/>
      <c r="K50" s="60" t="n"/>
      <c r="L50" s="59" t="n"/>
    </row>
    <row r="51" ht="17" customHeight="1" s="1">
      <c r="A51" s="356" t="n"/>
      <c r="B51" s="356" t="n"/>
      <c r="C51" s="58" t="n"/>
      <c r="D51" s="58" t="n"/>
      <c r="E51" s="58" t="n"/>
      <c r="F51" s="58" t="n"/>
      <c r="G51" s="59" t="n"/>
      <c r="H51" s="59" t="n"/>
      <c r="I51" s="59" t="n"/>
      <c r="J51" s="59" t="n"/>
      <c r="K51" s="60" t="n"/>
      <c r="L51" s="59" t="n"/>
    </row>
    <row r="52" ht="17" customHeight="1" s="1">
      <c r="A52" s="356" t="n"/>
      <c r="B52" s="356" t="n"/>
      <c r="C52" s="58" t="n"/>
      <c r="D52" s="58" t="n"/>
      <c r="E52" s="58" t="n"/>
      <c r="F52" s="58" t="n"/>
      <c r="G52" s="59" t="n"/>
      <c r="H52" s="59" t="n"/>
      <c r="I52" s="59" t="n"/>
      <c r="J52" s="59" t="n"/>
      <c r="K52" s="60" t="n"/>
      <c r="L52" s="59" t="n"/>
    </row>
    <row r="53" ht="17" customHeight="1" s="1">
      <c r="A53" s="356" t="n"/>
      <c r="B53" s="356" t="n"/>
      <c r="C53" s="58" t="n"/>
      <c r="D53" s="58" t="n"/>
      <c r="E53" s="58" t="n"/>
      <c r="F53" s="58" t="n"/>
      <c r="G53" s="59" t="n"/>
      <c r="H53" s="59" t="n"/>
      <c r="I53" s="59" t="n"/>
      <c r="J53" s="59" t="n"/>
      <c r="K53" s="60" t="n"/>
      <c r="L53" s="59" t="n"/>
    </row>
    <row r="54" ht="17" customHeight="1" s="1">
      <c r="A54" s="356" t="n"/>
      <c r="B54" s="356" t="n"/>
      <c r="C54" s="58" t="n"/>
      <c r="D54" s="58" t="n"/>
      <c r="E54" s="58" t="n"/>
      <c r="F54" s="58" t="n"/>
      <c r="G54" s="59" t="n"/>
      <c r="H54" s="59" t="n"/>
      <c r="I54" s="59" t="n"/>
      <c r="J54" s="59" t="n"/>
      <c r="K54" s="60" t="n"/>
      <c r="L54" s="59" t="n"/>
    </row>
    <row r="55" ht="17" customHeight="1" s="1">
      <c r="A55" s="356" t="n"/>
      <c r="B55" s="356" t="n"/>
      <c r="C55" s="58" t="n"/>
      <c r="D55" s="58" t="n"/>
      <c r="E55" s="58" t="n"/>
      <c r="F55" s="58" t="n"/>
      <c r="G55" s="59" t="n"/>
      <c r="H55" s="59" t="n"/>
      <c r="I55" s="59" t="n"/>
      <c r="J55" s="59" t="n"/>
      <c r="K55" s="60" t="n"/>
      <c r="L55" s="59" t="n"/>
    </row>
    <row r="56" ht="17" customHeight="1" s="1">
      <c r="A56" s="356" t="n"/>
      <c r="B56" s="356" t="n"/>
      <c r="C56" s="58" t="n"/>
      <c r="D56" s="58" t="n"/>
      <c r="E56" s="58" t="n"/>
      <c r="F56" s="58" t="n"/>
      <c r="G56" s="59" t="n"/>
      <c r="H56" s="59" t="n"/>
      <c r="I56" s="59" t="n"/>
      <c r="J56" s="59" t="n"/>
      <c r="K56" s="60" t="n"/>
      <c r="L56" s="59" t="n"/>
    </row>
    <row r="57" ht="17" customHeight="1" s="1">
      <c r="A57" s="356" t="n"/>
      <c r="B57" s="356" t="n"/>
      <c r="C57" s="58" t="n"/>
      <c r="D57" s="58" t="n"/>
      <c r="E57" s="58" t="n"/>
      <c r="F57" s="58" t="n"/>
      <c r="G57" s="59" t="n"/>
      <c r="H57" s="59" t="n"/>
      <c r="I57" s="59" t="n"/>
      <c r="J57" s="59" t="n"/>
      <c r="K57" s="60" t="n"/>
      <c r="L57" s="59" t="n"/>
    </row>
    <row r="58" ht="17" customHeight="1" s="1">
      <c r="A58" s="356" t="n"/>
      <c r="B58" s="356" t="n"/>
      <c r="C58" s="58" t="n"/>
      <c r="D58" s="58" t="n"/>
      <c r="E58" s="58" t="n"/>
      <c r="F58" s="58" t="n"/>
      <c r="G58" s="59" t="n"/>
      <c r="H58" s="59" t="n"/>
      <c r="I58" s="59" t="n"/>
      <c r="J58" s="59" t="n"/>
      <c r="K58" s="60" t="n"/>
      <c r="L58" s="59" t="n"/>
    </row>
    <row r="59" ht="17" customHeight="1" s="1">
      <c r="A59" s="356" t="n"/>
      <c r="B59" s="356" t="n"/>
      <c r="C59" s="58" t="n"/>
      <c r="D59" s="58" t="n"/>
      <c r="E59" s="58" t="n"/>
      <c r="F59" s="58" t="n"/>
      <c r="G59" s="59" t="n"/>
      <c r="H59" s="59" t="n"/>
      <c r="I59" s="59" t="n"/>
      <c r="J59" s="59" t="n"/>
      <c r="K59" s="60" t="n"/>
      <c r="L59" s="59" t="n"/>
    </row>
    <row r="60" ht="17" customHeight="1" s="1">
      <c r="A60" s="356" t="n"/>
      <c r="B60" s="356" t="n"/>
      <c r="C60" s="58" t="n"/>
      <c r="D60" s="58" t="n"/>
      <c r="E60" s="58" t="n"/>
      <c r="F60" s="58" t="n"/>
      <c r="G60" s="59" t="n"/>
      <c r="H60" s="59" t="n"/>
      <c r="I60" s="59" t="n"/>
      <c r="J60" s="59" t="n"/>
      <c r="K60" s="60" t="n"/>
      <c r="L60" s="59" t="n"/>
    </row>
    <row r="61" ht="17" customHeight="1" s="1">
      <c r="A61" s="356" t="n"/>
      <c r="B61" s="356" t="n"/>
      <c r="C61" s="58" t="n"/>
      <c r="D61" s="58" t="n"/>
      <c r="E61" s="58" t="n"/>
      <c r="F61" s="58" t="n"/>
      <c r="G61" s="59" t="n"/>
      <c r="H61" s="59" t="n"/>
      <c r="I61" s="59" t="n"/>
      <c r="J61" s="59" t="n"/>
      <c r="K61" s="60" t="n"/>
      <c r="L61" s="59" t="n"/>
    </row>
    <row r="62" ht="17" customHeight="1" s="1">
      <c r="A62" s="356" t="n"/>
      <c r="B62" s="356" t="n"/>
      <c r="C62" s="58" t="n"/>
      <c r="D62" s="58" t="n"/>
      <c r="E62" s="58" t="n"/>
      <c r="F62" s="58" t="n"/>
      <c r="G62" s="59" t="n"/>
      <c r="H62" s="59" t="n"/>
      <c r="I62" s="59" t="n"/>
      <c r="J62" s="59" t="n"/>
      <c r="K62" s="60" t="n"/>
      <c r="L62" s="59" t="n"/>
    </row>
    <row r="63" ht="17" customHeight="1" s="1">
      <c r="A63" s="356" t="n"/>
      <c r="B63" s="356" t="n"/>
      <c r="C63" s="58" t="n"/>
      <c r="D63" s="58" t="n"/>
      <c r="E63" s="58" t="n"/>
      <c r="F63" s="58" t="n"/>
      <c r="G63" s="59" t="n"/>
      <c r="H63" s="59" t="n"/>
      <c r="I63" s="59" t="n"/>
      <c r="J63" s="59" t="n"/>
      <c r="K63" s="60" t="n"/>
      <c r="L63" s="59" t="n"/>
    </row>
    <row r="64" ht="17" customHeight="1" s="1">
      <c r="A64" s="356" t="n"/>
      <c r="B64" s="356" t="n"/>
      <c r="C64" s="58" t="n"/>
      <c r="D64" s="58" t="n"/>
      <c r="E64" s="58" t="n"/>
      <c r="F64" s="58" t="n"/>
      <c r="G64" s="59" t="n"/>
      <c r="H64" s="59" t="n"/>
      <c r="I64" s="59" t="n"/>
      <c r="J64" s="59" t="n"/>
      <c r="K64" s="60" t="n"/>
      <c r="L64" s="59" t="n"/>
    </row>
    <row r="65" ht="17" customHeight="1" s="1">
      <c r="A65" s="356" t="n"/>
      <c r="B65" s="356" t="n"/>
      <c r="C65" s="58" t="n"/>
      <c r="D65" s="58" t="n"/>
      <c r="E65" s="58" t="n"/>
      <c r="F65" s="58" t="n"/>
      <c r="G65" s="59" t="n"/>
      <c r="H65" s="59" t="n"/>
      <c r="I65" s="59" t="n"/>
      <c r="J65" s="59" t="n"/>
      <c r="K65" s="60" t="n"/>
      <c r="L65" s="59" t="n"/>
    </row>
    <row r="66" ht="17" customHeight="1" s="1">
      <c r="A66" s="356" t="n"/>
      <c r="B66" s="356" t="n"/>
      <c r="C66" s="58" t="n"/>
      <c r="D66" s="58" t="n"/>
      <c r="E66" s="58" t="n"/>
      <c r="F66" s="58" t="n"/>
      <c r="G66" s="59" t="n"/>
      <c r="H66" s="59" t="n"/>
      <c r="I66" s="59" t="n"/>
      <c r="J66" s="59" t="n"/>
      <c r="K66" s="60" t="n"/>
      <c r="L66" s="59" t="n"/>
    </row>
    <row r="67" ht="17" customHeight="1" s="1">
      <c r="A67" s="356" t="n"/>
      <c r="B67" s="356" t="n"/>
      <c r="C67" s="58" t="n"/>
      <c r="D67" s="58" t="n"/>
      <c r="E67" s="58" t="n"/>
      <c r="F67" s="58" t="n"/>
      <c r="G67" s="59" t="n"/>
      <c r="H67" s="59" t="n"/>
      <c r="I67" s="59" t="n"/>
      <c r="J67" s="59" t="n"/>
      <c r="K67" s="60" t="n"/>
      <c r="L67" s="59" t="n"/>
    </row>
    <row r="68" ht="17" customHeight="1" s="1">
      <c r="A68" s="356" t="n"/>
      <c r="B68" s="356" t="n"/>
      <c r="C68" s="58" t="n"/>
      <c r="D68" s="58" t="n"/>
      <c r="E68" s="58" t="n"/>
      <c r="F68" s="58" t="n"/>
      <c r="G68" s="59" t="n"/>
      <c r="H68" s="59" t="n"/>
      <c r="I68" s="59" t="n"/>
      <c r="J68" s="59" t="n"/>
      <c r="K68" s="60" t="n"/>
      <c r="L68" s="59" t="n"/>
    </row>
    <row r="69" ht="17" customHeight="1" s="1">
      <c r="A69" s="356" t="n"/>
      <c r="B69" s="356" t="n"/>
      <c r="C69" s="58" t="n"/>
      <c r="D69" s="58" t="n"/>
      <c r="E69" s="58" t="n"/>
      <c r="F69" s="58" t="n"/>
      <c r="G69" s="59" t="n"/>
      <c r="H69" s="59" t="n"/>
      <c r="I69" s="59" t="n"/>
      <c r="J69" s="59" t="n"/>
      <c r="K69" s="60" t="n"/>
      <c r="L69" s="59" t="n"/>
    </row>
    <row r="70" ht="17" customHeight="1" s="1">
      <c r="A70" s="356" t="n"/>
      <c r="B70" s="356" t="n"/>
      <c r="C70" s="58" t="n"/>
      <c r="D70" s="58" t="n"/>
      <c r="E70" s="58" t="n"/>
      <c r="F70" s="58" t="n"/>
      <c r="G70" s="59" t="n"/>
      <c r="H70" s="59" t="n"/>
      <c r="I70" s="59" t="n"/>
      <c r="J70" s="59" t="n"/>
      <c r="K70" s="60" t="n"/>
      <c r="L70" s="59" t="n"/>
    </row>
    <row r="71" ht="17" customHeight="1" s="1">
      <c r="A71" s="356" t="n"/>
      <c r="B71" s="356" t="n"/>
      <c r="C71" s="58" t="n"/>
      <c r="D71" s="58" t="n"/>
      <c r="E71" s="58" t="n"/>
      <c r="F71" s="58" t="n"/>
      <c r="G71" s="59" t="n"/>
      <c r="H71" s="59" t="n"/>
      <c r="I71" s="59" t="n"/>
      <c r="J71" s="59" t="n"/>
      <c r="K71" s="60" t="n"/>
      <c r="L71" s="59" t="n"/>
    </row>
    <row r="72" ht="17" customHeight="1" s="1">
      <c r="A72" s="356" t="n"/>
      <c r="B72" s="356" t="n"/>
      <c r="C72" s="58" t="n"/>
      <c r="D72" s="58" t="n"/>
      <c r="E72" s="58" t="n"/>
      <c r="F72" s="58" t="n"/>
      <c r="G72" s="59" t="n"/>
      <c r="H72" s="59" t="n"/>
      <c r="I72" s="59" t="n"/>
      <c r="J72" s="59" t="n"/>
      <c r="K72" s="60" t="n"/>
      <c r="L72" s="59" t="n"/>
    </row>
    <row r="73" ht="17" customHeight="1" s="1">
      <c r="A73" s="356" t="n"/>
      <c r="B73" s="356" t="n"/>
      <c r="C73" s="58" t="n"/>
      <c r="D73" s="58" t="n"/>
      <c r="E73" s="58" t="n"/>
      <c r="F73" s="58" t="n"/>
      <c r="G73" s="59" t="n"/>
      <c r="H73" s="59" t="n"/>
      <c r="I73" s="59" t="n"/>
      <c r="J73" s="59" t="n"/>
      <c r="K73" s="60" t="n"/>
      <c r="L73" s="59" t="n"/>
    </row>
    <row r="74" ht="17" customHeight="1" s="1">
      <c r="A74" s="356" t="n"/>
      <c r="B74" s="356" t="n"/>
      <c r="C74" s="58" t="n"/>
      <c r="D74" s="58" t="n"/>
      <c r="E74" s="58" t="n"/>
      <c r="F74" s="58" t="n"/>
      <c r="G74" s="59" t="n"/>
      <c r="H74" s="59" t="n"/>
      <c r="I74" s="59" t="n"/>
      <c r="J74" s="59" t="n"/>
      <c r="K74" s="60" t="n"/>
      <c r="L74" s="59" t="n"/>
    </row>
    <row r="75" ht="17" customHeight="1" s="1">
      <c r="A75" s="356" t="n"/>
      <c r="B75" s="356" t="n"/>
      <c r="C75" s="58" t="n"/>
      <c r="D75" s="58" t="n"/>
      <c r="E75" s="58" t="n"/>
      <c r="F75" s="58" t="n"/>
      <c r="G75" s="59" t="n"/>
      <c r="H75" s="59" t="n"/>
      <c r="I75" s="59" t="n"/>
      <c r="J75" s="59" t="n"/>
      <c r="K75" s="60" t="n"/>
      <c r="L75" s="59" t="n"/>
    </row>
    <row r="76" ht="17" customHeight="1" s="1">
      <c r="A76" s="356" t="n"/>
      <c r="B76" s="356" t="n"/>
      <c r="C76" s="58" t="n"/>
      <c r="D76" s="58" t="n"/>
      <c r="E76" s="58" t="n"/>
      <c r="F76" s="58" t="n"/>
      <c r="G76" s="59" t="n"/>
      <c r="H76" s="59" t="n"/>
      <c r="I76" s="59" t="n"/>
      <c r="J76" s="59" t="n"/>
      <c r="K76" s="60" t="n"/>
      <c r="L76" s="59" t="n"/>
    </row>
    <row r="77" ht="17" customHeight="1" s="1">
      <c r="A77" s="356" t="n"/>
      <c r="B77" s="356" t="n"/>
      <c r="C77" s="58" t="n"/>
      <c r="D77" s="58" t="n"/>
      <c r="E77" s="58" t="n"/>
      <c r="F77" s="58" t="n"/>
      <c r="G77" s="59" t="n"/>
      <c r="H77" s="59" t="n"/>
      <c r="I77" s="59" t="n"/>
      <c r="J77" s="59" t="n"/>
      <c r="K77" s="60" t="n"/>
      <c r="L77" s="59" t="n"/>
    </row>
    <row r="78" ht="17" customHeight="1" s="1">
      <c r="A78" s="356" t="n"/>
      <c r="B78" s="356" t="n"/>
      <c r="C78" s="58" t="n"/>
      <c r="D78" s="58" t="n"/>
      <c r="E78" s="58" t="n"/>
      <c r="F78" s="58" t="n"/>
      <c r="G78" s="59" t="n"/>
      <c r="H78" s="59" t="n"/>
      <c r="I78" s="59" t="n"/>
      <c r="J78" s="59" t="n"/>
      <c r="K78" s="60" t="n"/>
      <c r="L78" s="59" t="n"/>
    </row>
    <row r="79" ht="17" customHeight="1" s="1">
      <c r="A79" s="356" t="n"/>
      <c r="B79" s="356" t="n"/>
      <c r="C79" s="58" t="n"/>
      <c r="D79" s="58" t="n"/>
      <c r="E79" s="58" t="n"/>
      <c r="F79" s="58" t="n"/>
      <c r="G79" s="59" t="n"/>
      <c r="H79" s="59" t="n"/>
      <c r="I79" s="59" t="n"/>
      <c r="J79" s="59" t="n"/>
      <c r="K79" s="60" t="n"/>
      <c r="L79" s="59" t="n"/>
    </row>
    <row r="80" ht="17" customHeight="1" s="1">
      <c r="A80" s="356" t="n"/>
      <c r="B80" s="356" t="n"/>
      <c r="C80" s="58" t="n"/>
      <c r="D80" s="58" t="n"/>
      <c r="E80" s="58" t="n"/>
      <c r="F80" s="58" t="n"/>
      <c r="G80" s="59" t="n"/>
      <c r="H80" s="59" t="n"/>
      <c r="I80" s="59" t="n"/>
      <c r="J80" s="59" t="n"/>
      <c r="K80" s="60" t="n"/>
      <c r="L80" s="59" t="n"/>
    </row>
    <row r="81" ht="17" customHeight="1" s="1">
      <c r="A81" s="356" t="n"/>
      <c r="B81" s="356" t="n"/>
      <c r="C81" s="58" t="n"/>
      <c r="D81" s="58" t="n"/>
      <c r="E81" s="58" t="n"/>
      <c r="F81" s="58" t="n"/>
      <c r="G81" s="59" t="n"/>
      <c r="H81" s="59" t="n"/>
      <c r="I81" s="59" t="n"/>
      <c r="J81" s="59" t="n"/>
      <c r="K81" s="60" t="n"/>
      <c r="L81" s="59" t="n"/>
    </row>
    <row r="82" ht="17" customHeight="1" s="1">
      <c r="A82" s="356" t="n"/>
      <c r="B82" s="356" t="n"/>
      <c r="C82" s="58" t="n"/>
      <c r="D82" s="58" t="n"/>
      <c r="E82" s="58" t="n"/>
      <c r="F82" s="58" t="n"/>
      <c r="G82" s="59" t="n"/>
      <c r="H82" s="59" t="n"/>
      <c r="I82" s="59" t="n"/>
      <c r="J82" s="59" t="n"/>
      <c r="K82" s="60" t="n"/>
      <c r="L82" s="59" t="n"/>
    </row>
    <row r="83" ht="17" customHeight="1" s="1">
      <c r="A83" s="356" t="n"/>
      <c r="B83" s="356" t="n"/>
      <c r="C83" s="58" t="n"/>
      <c r="D83" s="58" t="n"/>
      <c r="E83" s="58" t="n"/>
      <c r="F83" s="58" t="n"/>
      <c r="G83" s="59" t="n"/>
      <c r="H83" s="59" t="n"/>
      <c r="I83" s="59" t="n"/>
      <c r="J83" s="59" t="n"/>
      <c r="K83" s="60" t="n"/>
      <c r="L83" s="59" t="n"/>
    </row>
    <row r="84" ht="17" customHeight="1" s="1">
      <c r="A84" s="356" t="n"/>
      <c r="B84" s="356" t="n"/>
      <c r="C84" s="58" t="n"/>
      <c r="D84" s="58" t="n"/>
      <c r="E84" s="58" t="n"/>
      <c r="F84" s="58" t="n"/>
      <c r="G84" s="59" t="n"/>
      <c r="H84" s="59" t="n"/>
      <c r="I84" s="59" t="n"/>
      <c r="J84" s="59" t="n"/>
      <c r="K84" s="60" t="n"/>
      <c r="L84" s="59" t="n"/>
    </row>
    <row r="85" ht="17" customHeight="1" s="1">
      <c r="A85" s="356" t="n"/>
      <c r="B85" s="356" t="n"/>
      <c r="C85" s="58" t="n"/>
      <c r="D85" s="58" t="n"/>
      <c r="E85" s="58" t="n"/>
      <c r="F85" s="58" t="n"/>
      <c r="G85" s="59" t="n"/>
      <c r="H85" s="59" t="n"/>
      <c r="I85" s="59" t="n"/>
      <c r="J85" s="59" t="n"/>
      <c r="K85" s="60" t="n"/>
      <c r="L85" s="59" t="n"/>
    </row>
    <row r="86" ht="17" customHeight="1" s="1">
      <c r="A86" s="356" t="n"/>
      <c r="B86" s="356" t="n"/>
      <c r="C86" s="58" t="n"/>
      <c r="D86" s="58" t="n"/>
      <c r="E86" s="58" t="n"/>
      <c r="F86" s="58" t="n"/>
      <c r="G86" s="59" t="n"/>
      <c r="H86" s="59" t="n"/>
      <c r="I86" s="59" t="n"/>
      <c r="J86" s="59" t="n"/>
      <c r="K86" s="60" t="n"/>
      <c r="L86" s="59" t="n"/>
    </row>
    <row r="87" ht="17" customHeight="1" s="1">
      <c r="A87" s="356" t="n"/>
      <c r="B87" s="356" t="n"/>
      <c r="C87" s="58" t="n"/>
      <c r="D87" s="58" t="n"/>
      <c r="E87" s="58" t="n"/>
      <c r="F87" s="58" t="n"/>
      <c r="G87" s="59" t="n"/>
      <c r="H87" s="59" t="n"/>
      <c r="I87" s="59" t="n"/>
      <c r="J87" s="59" t="n"/>
      <c r="K87" s="60" t="n"/>
      <c r="L87" s="59" t="n"/>
    </row>
    <row r="88" ht="17" customHeight="1" s="1">
      <c r="A88" s="356" t="n"/>
      <c r="B88" s="356" t="n"/>
      <c r="C88" s="58" t="n"/>
      <c r="D88" s="58" t="n"/>
      <c r="E88" s="58" t="n"/>
      <c r="F88" s="58" t="n"/>
      <c r="G88" s="59" t="n"/>
      <c r="H88" s="59" t="n"/>
      <c r="I88" s="59" t="n"/>
      <c r="J88" s="59" t="n"/>
      <c r="K88" s="60" t="n"/>
      <c r="L88" s="59" t="n"/>
    </row>
    <row r="89" ht="17" customHeight="1" s="1">
      <c r="A89" s="356" t="n"/>
      <c r="B89" s="356" t="n"/>
      <c r="C89" s="58" t="n"/>
      <c r="D89" s="58" t="n"/>
      <c r="E89" s="58" t="n"/>
      <c r="F89" s="58" t="n"/>
      <c r="G89" s="59" t="n"/>
      <c r="H89" s="59" t="n"/>
      <c r="I89" s="59" t="n"/>
      <c r="J89" s="59" t="n"/>
      <c r="K89" s="60" t="n"/>
      <c r="L89" s="59" t="n"/>
    </row>
    <row r="90" ht="17" customHeight="1" s="1">
      <c r="A90" s="356" t="n"/>
      <c r="B90" s="356" t="n"/>
      <c r="C90" s="58" t="n"/>
      <c r="D90" s="58" t="n"/>
      <c r="E90" s="58" t="n"/>
      <c r="F90" s="58" t="n"/>
      <c r="G90" s="59" t="n"/>
      <c r="H90" s="59" t="n"/>
      <c r="I90" s="59" t="n"/>
      <c r="J90" s="59" t="n"/>
      <c r="K90" s="60" t="n"/>
      <c r="L90" s="59" t="n"/>
    </row>
    <row r="91" ht="17" customHeight="1" s="1">
      <c r="A91" s="356" t="n"/>
      <c r="B91" s="356" t="n"/>
      <c r="C91" s="58" t="n"/>
      <c r="D91" s="58" t="n"/>
      <c r="E91" s="58" t="n"/>
      <c r="F91" s="58" t="n"/>
      <c r="G91" s="59" t="n"/>
      <c r="H91" s="59" t="n"/>
      <c r="I91" s="59" t="n"/>
      <c r="J91" s="59" t="n"/>
      <c r="K91" s="60" t="n"/>
      <c r="L91" s="59" t="n"/>
    </row>
    <row r="92" ht="17" customHeight="1" s="1">
      <c r="A92" s="356" t="n"/>
      <c r="B92" s="356" t="n"/>
      <c r="C92" s="58" t="n"/>
      <c r="D92" s="58" t="n"/>
      <c r="E92" s="58" t="n"/>
      <c r="F92" s="58" t="n"/>
      <c r="G92" s="59" t="n"/>
      <c r="H92" s="59" t="n"/>
      <c r="I92" s="59" t="n"/>
      <c r="J92" s="59" t="n"/>
      <c r="K92" s="60" t="n"/>
      <c r="L92" s="59" t="n"/>
    </row>
    <row r="93" ht="17" customHeight="1" s="1">
      <c r="A93" s="356" t="n"/>
      <c r="B93" s="356" t="n"/>
      <c r="C93" s="58" t="n"/>
      <c r="D93" s="58" t="n"/>
      <c r="E93" s="58" t="n"/>
      <c r="F93" s="58" t="n"/>
      <c r="G93" s="59" t="n"/>
      <c r="H93" s="59" t="n"/>
      <c r="I93" s="59" t="n"/>
      <c r="J93" s="59" t="n"/>
      <c r="K93" s="60" t="n"/>
      <c r="L93" s="59" t="n"/>
    </row>
    <row r="94" ht="17" customHeight="1" s="1">
      <c r="A94" s="356" t="n"/>
      <c r="B94" s="356" t="n"/>
      <c r="C94" s="58" t="n"/>
      <c r="D94" s="58" t="n"/>
      <c r="E94" s="58" t="n"/>
      <c r="F94" s="58" t="n"/>
      <c r="G94" s="59" t="n"/>
      <c r="H94" s="59" t="n"/>
      <c r="I94" s="59" t="n"/>
      <c r="J94" s="59" t="n"/>
      <c r="K94" s="60" t="n"/>
      <c r="L94" s="59" t="n"/>
    </row>
    <row r="95" ht="17" customHeight="1" s="1">
      <c r="A95" s="356" t="n"/>
      <c r="B95" s="356" t="n"/>
      <c r="C95" s="58" t="n"/>
      <c r="D95" s="58" t="n"/>
      <c r="E95" s="58" t="n"/>
      <c r="F95" s="58" t="n"/>
      <c r="G95" s="59" t="n"/>
      <c r="H95" s="59" t="n"/>
      <c r="I95" s="59" t="n"/>
      <c r="J95" s="59" t="n"/>
      <c r="K95" s="60" t="n"/>
      <c r="L95" s="59" t="n"/>
    </row>
    <row r="96" ht="17" customHeight="1" s="1">
      <c r="A96" s="356" t="n"/>
      <c r="B96" s="356" t="n"/>
      <c r="C96" s="58" t="n"/>
      <c r="D96" s="58" t="n"/>
      <c r="E96" s="58" t="n"/>
      <c r="F96" s="58" t="n"/>
      <c r="G96" s="59" t="n"/>
      <c r="H96" s="59" t="n"/>
      <c r="I96" s="59" t="n"/>
      <c r="J96" s="59" t="n"/>
      <c r="K96" s="60" t="n"/>
      <c r="L96" s="59" t="n"/>
    </row>
    <row r="97" ht="17" customHeight="1" s="1">
      <c r="A97" s="356" t="n"/>
      <c r="B97" s="356" t="n"/>
      <c r="C97" s="58" t="n"/>
      <c r="D97" s="58" t="n"/>
      <c r="E97" s="58" t="n"/>
      <c r="F97" s="58" t="n"/>
      <c r="G97" s="59" t="n"/>
      <c r="H97" s="59" t="n"/>
      <c r="I97" s="59" t="n"/>
      <c r="J97" s="59" t="n"/>
      <c r="K97" s="60" t="n"/>
      <c r="L97" s="59" t="n"/>
    </row>
    <row r="98" ht="17" customHeight="1" s="1">
      <c r="A98" s="356" t="n"/>
      <c r="B98" s="356" t="n"/>
      <c r="C98" s="58" t="n"/>
      <c r="D98" s="58" t="n"/>
      <c r="E98" s="58" t="n"/>
      <c r="F98" s="58" t="n"/>
      <c r="G98" s="59" t="n"/>
      <c r="H98" s="59" t="n"/>
      <c r="I98" s="59" t="n"/>
      <c r="J98" s="59" t="n"/>
      <c r="K98" s="60" t="n"/>
      <c r="L98" s="59" t="n"/>
    </row>
    <row r="99" ht="17" customHeight="1" s="1">
      <c r="A99" s="356" t="n"/>
      <c r="B99" s="356" t="n"/>
      <c r="C99" s="58" t="n"/>
      <c r="D99" s="58" t="n"/>
      <c r="E99" s="58" t="n"/>
      <c r="F99" s="58" t="n"/>
      <c r="G99" s="59" t="n"/>
      <c r="H99" s="59" t="n"/>
      <c r="I99" s="59" t="n"/>
      <c r="J99" s="59" t="n"/>
      <c r="K99" s="60" t="n"/>
      <c r="L99" s="59" t="n"/>
    </row>
    <row r="100" ht="17" customHeight="1" s="1">
      <c r="A100" s="356" t="n"/>
      <c r="B100" s="356" t="n"/>
      <c r="C100" s="58" t="n"/>
      <c r="D100" s="58" t="n"/>
      <c r="E100" s="58" t="n"/>
      <c r="F100" s="58" t="n"/>
      <c r="G100" s="59" t="n"/>
      <c r="H100" s="59" t="n"/>
      <c r="I100" s="59" t="n"/>
      <c r="J100" s="59" t="n"/>
      <c r="K100" s="60" t="n"/>
      <c r="L100" s="59" t="n"/>
    </row>
    <row r="101" ht="17" customHeight="1" s="1">
      <c r="A101" s="356" t="n"/>
      <c r="B101" s="356" t="n"/>
      <c r="C101" s="58" t="n"/>
      <c r="D101" s="58" t="n"/>
      <c r="E101" s="58" t="n"/>
      <c r="F101" s="58" t="n"/>
      <c r="G101" s="59" t="n"/>
      <c r="H101" s="59" t="n"/>
      <c r="I101" s="59" t="n"/>
      <c r="J101" s="59" t="n"/>
      <c r="K101" s="60" t="n"/>
      <c r="L101" s="59" t="n"/>
    </row>
    <row r="102" ht="17" customHeight="1" s="1">
      <c r="A102" s="356" t="n"/>
      <c r="B102" s="356" t="n"/>
      <c r="C102" s="58" t="n"/>
      <c r="D102" s="58" t="n"/>
      <c r="E102" s="58" t="n"/>
      <c r="F102" s="58" t="n"/>
      <c r="G102" s="59" t="n"/>
      <c r="H102" s="59" t="n"/>
      <c r="I102" s="59" t="n"/>
      <c r="J102" s="59" t="n"/>
      <c r="K102" s="60" t="n"/>
      <c r="L102" s="59" t="n"/>
    </row>
    <row r="103" ht="17" customHeight="1" s="1">
      <c r="A103" s="356" t="n"/>
      <c r="B103" s="356" t="n"/>
      <c r="C103" s="58" t="n"/>
      <c r="D103" s="58" t="n"/>
      <c r="E103" s="58" t="n"/>
      <c r="F103" s="58" t="n"/>
      <c r="G103" s="59" t="n"/>
      <c r="H103" s="59" t="n"/>
      <c r="I103" s="59" t="n"/>
      <c r="J103" s="59" t="n"/>
      <c r="K103" s="60" t="n"/>
      <c r="L103" s="59" t="n"/>
    </row>
    <row r="104" ht="17" customHeight="1" s="1">
      <c r="A104" s="356" t="n"/>
      <c r="B104" s="356" t="n"/>
      <c r="C104" s="58" t="n"/>
      <c r="D104" s="58" t="n"/>
      <c r="E104" s="58" t="n"/>
      <c r="F104" s="58" t="n"/>
      <c r="G104" s="59" t="n"/>
      <c r="H104" s="59" t="n"/>
      <c r="I104" s="59" t="n"/>
      <c r="J104" s="59" t="n"/>
      <c r="K104" s="60" t="n"/>
      <c r="L104" s="59" t="n"/>
    </row>
    <row r="105" ht="17" customHeight="1" s="1">
      <c r="A105" s="356" t="n"/>
      <c r="B105" s="356" t="n"/>
      <c r="C105" s="58" t="n"/>
      <c r="D105" s="58" t="n"/>
      <c r="E105" s="58" t="n"/>
      <c r="F105" s="58" t="n"/>
      <c r="G105" s="59" t="n"/>
      <c r="H105" s="59" t="n"/>
      <c r="I105" s="59" t="n"/>
      <c r="J105" s="59" t="n"/>
      <c r="K105" s="60" t="n"/>
      <c r="L105" s="59" t="n"/>
    </row>
    <row r="106" ht="17" customHeight="1" s="1">
      <c r="A106" s="356" t="n"/>
      <c r="B106" s="356" t="n"/>
      <c r="C106" s="58" t="n"/>
      <c r="D106" s="58" t="n"/>
      <c r="E106" s="58" t="n"/>
      <c r="F106" s="58" t="n"/>
      <c r="G106" s="59" t="n"/>
      <c r="H106" s="59" t="n"/>
      <c r="I106" s="59" t="n"/>
      <c r="J106" s="59" t="n"/>
      <c r="K106" s="60" t="n"/>
      <c r="L106" s="59" t="n"/>
    </row>
    <row r="107" ht="17" customHeight="1" s="1">
      <c r="A107" s="356" t="n"/>
      <c r="B107" s="356" t="n"/>
      <c r="C107" s="58" t="n"/>
      <c r="D107" s="58" t="n"/>
      <c r="E107" s="58" t="n"/>
      <c r="F107" s="58" t="n"/>
      <c r="G107" s="59" t="n"/>
      <c r="H107" s="59" t="n"/>
      <c r="I107" s="59" t="n"/>
      <c r="J107" s="59" t="n"/>
      <c r="K107" s="60" t="n"/>
      <c r="L107" s="59" t="n"/>
    </row>
    <row r="108" ht="17" customHeight="1" s="1">
      <c r="A108" s="356" t="n"/>
      <c r="B108" s="356" t="n"/>
      <c r="C108" s="58" t="n"/>
      <c r="D108" s="58" t="n"/>
      <c r="E108" s="58" t="n"/>
      <c r="F108" s="58" t="n"/>
      <c r="G108" s="59" t="n"/>
      <c r="H108" s="59" t="n"/>
      <c r="I108" s="59" t="n"/>
      <c r="J108" s="59" t="n"/>
      <c r="K108" s="60" t="n"/>
      <c r="L108" s="59" t="n"/>
    </row>
    <row r="109" ht="17" customHeight="1" s="1">
      <c r="A109" s="356" t="n"/>
      <c r="B109" s="356" t="n"/>
      <c r="C109" s="58" t="n"/>
      <c r="D109" s="58" t="n"/>
      <c r="E109" s="58" t="n"/>
      <c r="F109" s="58" t="n"/>
      <c r="G109" s="59" t="n"/>
      <c r="H109" s="59" t="n"/>
      <c r="I109" s="59" t="n"/>
      <c r="J109" s="59" t="n"/>
      <c r="K109" s="60" t="n"/>
      <c r="L109" s="59" t="n"/>
    </row>
    <row r="110" ht="17" customHeight="1" s="1">
      <c r="A110" s="356" t="n"/>
      <c r="B110" s="356" t="n"/>
      <c r="C110" s="58" t="n"/>
      <c r="D110" s="58" t="n"/>
      <c r="E110" s="58" t="n"/>
      <c r="F110" s="58" t="n"/>
      <c r="G110" s="59" t="n"/>
      <c r="H110" s="59" t="n"/>
      <c r="I110" s="59" t="n"/>
      <c r="J110" s="59" t="n"/>
      <c r="K110" s="60" t="n"/>
      <c r="L110" s="59" t="n"/>
    </row>
    <row r="111" ht="17" customHeight="1" s="1">
      <c r="A111" s="356" t="n"/>
      <c r="B111" s="356" t="n"/>
      <c r="C111" s="58" t="n"/>
      <c r="D111" s="58" t="n"/>
      <c r="E111" s="58" t="n"/>
      <c r="F111" s="58" t="n"/>
      <c r="G111" s="59" t="n"/>
      <c r="H111" s="59" t="n"/>
      <c r="I111" s="59" t="n"/>
      <c r="J111" s="59" t="n"/>
      <c r="K111" s="60" t="n"/>
      <c r="L111" s="59" t="n"/>
    </row>
    <row r="112" ht="17" customHeight="1" s="1">
      <c r="A112" s="356" t="n"/>
      <c r="B112" s="356" t="n"/>
      <c r="C112" s="58" t="n"/>
      <c r="D112" s="58" t="n"/>
      <c r="E112" s="58" t="n"/>
      <c r="F112" s="58" t="n"/>
      <c r="G112" s="59" t="n"/>
      <c r="H112" s="59" t="n"/>
      <c r="I112" s="59" t="n"/>
      <c r="J112" s="59" t="n"/>
      <c r="K112" s="60" t="n"/>
      <c r="L112" s="59" t="n"/>
    </row>
    <row r="113" ht="17" customHeight="1" s="1">
      <c r="A113" s="356" t="n"/>
      <c r="B113" s="356" t="n"/>
      <c r="C113" s="58" t="n"/>
      <c r="D113" s="58" t="n"/>
      <c r="E113" s="58" t="n"/>
      <c r="F113" s="58" t="n"/>
      <c r="G113" s="59" t="n"/>
      <c r="H113" s="59" t="n"/>
      <c r="I113" s="59" t="n"/>
      <c r="J113" s="59" t="n"/>
      <c r="K113" s="60" t="n"/>
      <c r="L113" s="59" t="n"/>
    </row>
    <row r="114" ht="17" customHeight="1" s="1">
      <c r="A114" s="356" t="n"/>
      <c r="B114" s="356" t="n"/>
      <c r="C114" s="58" t="n"/>
      <c r="D114" s="58" t="n"/>
      <c r="E114" s="58" t="n"/>
      <c r="F114" s="58" t="n"/>
      <c r="G114" s="59" t="n"/>
      <c r="H114" s="59" t="n"/>
      <c r="I114" s="59" t="n"/>
      <c r="J114" s="59" t="n"/>
      <c r="K114" s="60" t="n"/>
      <c r="L114" s="59" t="n"/>
    </row>
    <row r="115" ht="17" customHeight="1" s="1">
      <c r="A115" s="356" t="n"/>
      <c r="B115" s="356" t="n"/>
      <c r="C115" s="58" t="n"/>
      <c r="D115" s="58" t="n"/>
      <c r="E115" s="58" t="n"/>
      <c r="F115" s="58" t="n"/>
      <c r="G115" s="59" t="n"/>
      <c r="H115" s="59" t="n"/>
      <c r="I115" s="59" t="n"/>
      <c r="J115" s="59" t="n"/>
      <c r="K115" s="60" t="n"/>
      <c r="L115" s="59" t="n"/>
    </row>
    <row r="116" ht="17" customHeight="1" s="1">
      <c r="A116" s="356" t="n"/>
      <c r="B116" s="356" t="n"/>
      <c r="C116" s="58" t="n"/>
      <c r="D116" s="58" t="n"/>
      <c r="E116" s="58" t="n"/>
      <c r="F116" s="58" t="n"/>
      <c r="G116" s="59" t="n"/>
      <c r="H116" s="59" t="n"/>
      <c r="I116" s="59" t="n"/>
      <c r="J116" s="59" t="n"/>
      <c r="K116" s="60" t="n"/>
      <c r="L116" s="59" t="n"/>
    </row>
    <row r="117" ht="17" customHeight="1" s="1">
      <c r="A117" s="356" t="n"/>
      <c r="B117" s="356" t="n"/>
      <c r="C117" s="58" t="n"/>
      <c r="D117" s="58" t="n"/>
      <c r="E117" s="58" t="n"/>
      <c r="F117" s="58" t="n"/>
      <c r="G117" s="59" t="n"/>
      <c r="H117" s="59" t="n"/>
      <c r="I117" s="59" t="n"/>
      <c r="J117" s="59" t="n"/>
      <c r="K117" s="60" t="n"/>
      <c r="L117" s="59" t="n"/>
    </row>
    <row r="118" ht="17" customHeight="1" s="1">
      <c r="A118" s="356" t="n"/>
      <c r="B118" s="356" t="n"/>
      <c r="C118" s="58" t="n"/>
      <c r="D118" s="58" t="n"/>
      <c r="E118" s="58" t="n"/>
      <c r="F118" s="58" t="n"/>
      <c r="G118" s="59" t="n"/>
      <c r="H118" s="59" t="n"/>
      <c r="I118" s="59" t="n"/>
      <c r="J118" s="59" t="n"/>
      <c r="K118" s="60" t="n"/>
      <c r="L118" s="59" t="n"/>
    </row>
    <row r="119" ht="17" customHeight="1" s="1">
      <c r="A119" s="356" t="n"/>
      <c r="B119" s="356" t="n"/>
      <c r="C119" s="58" t="n"/>
      <c r="D119" s="58" t="n"/>
      <c r="E119" s="58" t="n"/>
      <c r="F119" s="58" t="n"/>
      <c r="G119" s="59" t="n"/>
      <c r="H119" s="59" t="n"/>
      <c r="I119" s="59" t="n"/>
      <c r="J119" s="59" t="n"/>
      <c r="K119" s="60" t="n"/>
      <c r="L119" s="59" t="n"/>
    </row>
    <row r="120" ht="17" customHeight="1" s="1">
      <c r="A120" s="356" t="n"/>
      <c r="B120" s="356" t="n"/>
      <c r="C120" s="58" t="n"/>
      <c r="D120" s="58" t="n"/>
      <c r="E120" s="58" t="n"/>
      <c r="F120" s="58" t="n"/>
      <c r="G120" s="59" t="n"/>
      <c r="H120" s="59" t="n"/>
      <c r="I120" s="59" t="n"/>
      <c r="J120" s="59" t="n"/>
      <c r="K120" s="60" t="n"/>
      <c r="L120" s="59" t="n"/>
    </row>
    <row r="121" ht="17" customHeight="1" s="1">
      <c r="A121" s="356" t="n"/>
      <c r="B121" s="356" t="n"/>
      <c r="C121" s="58" t="n"/>
      <c r="D121" s="58" t="n"/>
      <c r="E121" s="58" t="n"/>
      <c r="F121" s="58" t="n"/>
      <c r="G121" s="59" t="n"/>
      <c r="H121" s="59" t="n"/>
      <c r="I121" s="59" t="n"/>
      <c r="J121" s="59" t="n"/>
      <c r="K121" s="60" t="n"/>
      <c r="L121" s="59" t="n"/>
    </row>
    <row r="122" ht="17" customHeight="1" s="1">
      <c r="A122" s="356" t="n"/>
      <c r="B122" s="356" t="n"/>
      <c r="C122" s="58" t="n"/>
      <c r="D122" s="58" t="n"/>
      <c r="E122" s="58" t="n"/>
      <c r="F122" s="58" t="n"/>
      <c r="G122" s="59" t="n"/>
      <c r="H122" s="59" t="n"/>
      <c r="I122" s="59" t="n"/>
      <c r="J122" s="59" t="n"/>
      <c r="K122" s="60" t="n"/>
      <c r="L122" s="59" t="n"/>
    </row>
    <row r="123" ht="17" customHeight="1" s="1">
      <c r="A123" s="356" t="n"/>
      <c r="B123" s="356" t="n"/>
      <c r="C123" s="58" t="n"/>
      <c r="D123" s="58" t="n"/>
      <c r="E123" s="58" t="n"/>
      <c r="F123" s="58" t="n"/>
      <c r="G123" s="59" t="n"/>
      <c r="H123" s="59" t="n"/>
      <c r="I123" s="59" t="n"/>
      <c r="J123" s="59" t="n"/>
      <c r="K123" s="60" t="n"/>
      <c r="L123" s="59" t="n"/>
    </row>
    <row r="124" ht="17" customHeight="1" s="1">
      <c r="A124" s="356" t="n"/>
      <c r="B124" s="356" t="n"/>
      <c r="C124" s="58" t="n"/>
      <c r="D124" s="58" t="n"/>
      <c r="E124" s="58" t="n"/>
      <c r="F124" s="58" t="n"/>
      <c r="G124" s="59" t="n"/>
      <c r="H124" s="59" t="n"/>
      <c r="I124" s="59" t="n"/>
      <c r="J124" s="59" t="n"/>
      <c r="K124" s="60" t="n"/>
      <c r="L124" s="59" t="n"/>
    </row>
    <row r="125" ht="17" customHeight="1" s="1">
      <c r="A125" s="356" t="n"/>
      <c r="B125" s="356" t="n"/>
      <c r="C125" s="58" t="n"/>
      <c r="D125" s="58" t="n"/>
      <c r="E125" s="58" t="n"/>
      <c r="F125" s="58" t="n"/>
      <c r="G125" s="59" t="n"/>
      <c r="H125" s="59" t="n"/>
      <c r="I125" s="59" t="n"/>
      <c r="J125" s="59" t="n"/>
      <c r="K125" s="60" t="n"/>
      <c r="L125" s="59" t="n"/>
    </row>
    <row r="126" ht="17" customHeight="1" s="1">
      <c r="A126" s="356" t="n"/>
      <c r="B126" s="356" t="n"/>
      <c r="C126" s="58" t="n"/>
      <c r="D126" s="58" t="n"/>
      <c r="E126" s="58" t="n"/>
      <c r="F126" s="58" t="n"/>
      <c r="G126" s="59" t="n"/>
      <c r="H126" s="59" t="n"/>
      <c r="I126" s="59" t="n"/>
      <c r="J126" s="59" t="n"/>
      <c r="K126" s="60" t="n"/>
      <c r="L126" s="59" t="n"/>
    </row>
    <row r="127" ht="17" customHeight="1" s="1">
      <c r="A127" s="356" t="n"/>
      <c r="B127" s="356" t="n"/>
      <c r="C127" s="58" t="n"/>
      <c r="D127" s="58" t="n"/>
      <c r="E127" s="58" t="n"/>
      <c r="F127" s="58" t="n"/>
      <c r="G127" s="59" t="n"/>
      <c r="H127" s="59" t="n"/>
      <c r="I127" s="59" t="n"/>
      <c r="J127" s="59" t="n"/>
      <c r="K127" s="60" t="n"/>
      <c r="L127" s="59" t="n"/>
    </row>
    <row r="128" ht="17" customHeight="1" s="1">
      <c r="A128" s="356" t="n"/>
      <c r="B128" s="356" t="n"/>
      <c r="C128" s="58" t="n"/>
      <c r="D128" s="58" t="n"/>
      <c r="E128" s="58" t="n"/>
      <c r="F128" s="58" t="n"/>
      <c r="G128" s="59" t="n"/>
      <c r="H128" s="59" t="n"/>
      <c r="I128" s="59" t="n"/>
      <c r="J128" s="59" t="n"/>
      <c r="K128" s="60" t="n"/>
      <c r="L128" s="59" t="n"/>
    </row>
    <row r="129" ht="17" customHeight="1" s="1">
      <c r="A129" s="356" t="n"/>
      <c r="B129" s="356" t="n"/>
      <c r="C129" s="58" t="n"/>
      <c r="D129" s="58" t="n"/>
      <c r="E129" s="58" t="n"/>
      <c r="F129" s="58" t="n"/>
      <c r="G129" s="59" t="n"/>
      <c r="H129" s="59" t="n"/>
      <c r="I129" s="59" t="n"/>
      <c r="J129" s="59" t="n"/>
      <c r="K129" s="60" t="n"/>
      <c r="L129" s="59" t="n"/>
    </row>
    <row r="130" ht="17" customHeight="1" s="1">
      <c r="A130" s="356" t="n"/>
      <c r="B130" s="356" t="n"/>
      <c r="C130" s="58" t="n"/>
      <c r="D130" s="58" t="n"/>
      <c r="E130" s="58" t="n"/>
      <c r="F130" s="58" t="n"/>
      <c r="G130" s="59" t="n"/>
      <c r="H130" s="59" t="n"/>
      <c r="I130" s="59" t="n"/>
      <c r="J130" s="59" t="n"/>
      <c r="K130" s="60" t="n"/>
      <c r="L130" s="59" t="n"/>
    </row>
    <row r="131" ht="17" customHeight="1" s="1">
      <c r="A131" s="356" t="n"/>
      <c r="B131" s="356" t="n"/>
      <c r="C131" s="58" t="n"/>
      <c r="D131" s="58" t="n"/>
      <c r="E131" s="58" t="n"/>
      <c r="F131" s="58" t="n"/>
      <c r="G131" s="59" t="n"/>
      <c r="H131" s="59" t="n"/>
      <c r="I131" s="59" t="n"/>
      <c r="J131" s="59" t="n"/>
      <c r="K131" s="60" t="n"/>
      <c r="L131" s="59" t="n"/>
    </row>
    <row r="132" ht="17" customHeight="1" s="1">
      <c r="A132" s="356" t="n"/>
      <c r="B132" s="356" t="n"/>
      <c r="C132" s="58" t="n"/>
      <c r="D132" s="58" t="n"/>
      <c r="E132" s="58" t="n"/>
      <c r="F132" s="58" t="n"/>
      <c r="G132" s="59" t="n"/>
      <c r="H132" s="59" t="n"/>
      <c r="I132" s="59" t="n"/>
      <c r="J132" s="59" t="n"/>
      <c r="K132" s="60" t="n"/>
      <c r="L132" s="59" t="n"/>
    </row>
    <row r="133" ht="17" customHeight="1" s="1">
      <c r="A133" s="356" t="n"/>
      <c r="B133" s="356" t="n"/>
      <c r="C133" s="58" t="n"/>
      <c r="D133" s="58" t="n"/>
      <c r="E133" s="58" t="n"/>
      <c r="F133" s="58" t="n"/>
      <c r="G133" s="59" t="n"/>
      <c r="H133" s="59" t="n"/>
      <c r="I133" s="59" t="n"/>
      <c r="J133" s="59" t="n"/>
      <c r="K133" s="60" t="n"/>
      <c r="L133" s="59" t="n"/>
    </row>
    <row r="134" ht="17" customHeight="1" s="1">
      <c r="A134" s="356" t="n"/>
      <c r="B134" s="356" t="n"/>
      <c r="C134" s="58" t="n"/>
      <c r="D134" s="58" t="n"/>
      <c r="E134" s="58" t="n"/>
      <c r="F134" s="58" t="n"/>
      <c r="G134" s="59" t="n"/>
      <c r="H134" s="59" t="n"/>
      <c r="I134" s="59" t="n"/>
      <c r="J134" s="59" t="n"/>
      <c r="K134" s="60" t="n"/>
      <c r="L134" s="59" t="n"/>
    </row>
    <row r="135" ht="17" customHeight="1" s="1">
      <c r="A135" s="356" t="n"/>
      <c r="B135" s="356" t="n"/>
      <c r="C135" s="58" t="n"/>
      <c r="D135" s="58" t="n"/>
      <c r="E135" s="58" t="n"/>
      <c r="F135" s="58" t="n"/>
      <c r="G135" s="59" t="n"/>
      <c r="H135" s="59" t="n"/>
      <c r="I135" s="59" t="n"/>
      <c r="J135" s="59" t="n"/>
      <c r="K135" s="60" t="n"/>
      <c r="L135" s="59" t="n"/>
    </row>
    <row r="136" ht="17" customHeight="1" s="1">
      <c r="A136" s="356" t="n"/>
      <c r="B136" s="356" t="n"/>
      <c r="C136" s="58" t="n"/>
      <c r="D136" s="58" t="n"/>
      <c r="E136" s="58" t="n"/>
      <c r="F136" s="58" t="n"/>
      <c r="G136" s="59" t="n"/>
      <c r="H136" s="59" t="n"/>
      <c r="I136" s="59" t="n"/>
      <c r="J136" s="59" t="n"/>
      <c r="K136" s="60" t="n"/>
      <c r="L136" s="59" t="n"/>
    </row>
    <row r="137" ht="17" customHeight="1" s="1">
      <c r="A137" s="356" t="n"/>
      <c r="B137" s="356" t="n"/>
      <c r="C137" s="58" t="n"/>
      <c r="D137" s="58" t="n"/>
      <c r="E137" s="58" t="n"/>
      <c r="F137" s="58" t="n"/>
      <c r="G137" s="59" t="n"/>
      <c r="H137" s="59" t="n"/>
      <c r="I137" s="59" t="n"/>
      <c r="J137" s="59" t="n"/>
      <c r="K137" s="60" t="n"/>
      <c r="L137" s="59" t="n"/>
    </row>
    <row r="138" ht="17" customHeight="1" s="1">
      <c r="A138" s="356" t="n"/>
      <c r="B138" s="356" t="n"/>
      <c r="C138" s="58" t="n"/>
      <c r="D138" s="58" t="n"/>
      <c r="E138" s="58" t="n"/>
      <c r="F138" s="58" t="n"/>
      <c r="G138" s="59" t="n"/>
      <c r="H138" s="59" t="n"/>
      <c r="I138" s="59" t="n"/>
      <c r="J138" s="59" t="n"/>
      <c r="K138" s="60" t="n"/>
      <c r="L138" s="59" t="n"/>
    </row>
    <row r="139" ht="17" customHeight="1" s="1">
      <c r="A139" s="356" t="n"/>
      <c r="B139" s="356" t="n"/>
      <c r="C139" s="58" t="n"/>
      <c r="D139" s="58" t="n"/>
      <c r="E139" s="58" t="n"/>
      <c r="F139" s="58" t="n"/>
      <c r="G139" s="59" t="n"/>
      <c r="H139" s="59" t="n"/>
      <c r="I139" s="59" t="n"/>
      <c r="J139" s="59" t="n"/>
      <c r="K139" s="60" t="n"/>
      <c r="L139" s="59" t="n"/>
    </row>
    <row r="140" ht="17" customHeight="1" s="1">
      <c r="A140" s="356" t="n"/>
      <c r="B140" s="356" t="n"/>
      <c r="C140" s="58" t="n"/>
      <c r="D140" s="58" t="n"/>
      <c r="E140" s="58" t="n"/>
      <c r="F140" s="58" t="n"/>
      <c r="G140" s="59" t="n"/>
      <c r="H140" s="59" t="n"/>
      <c r="I140" s="59" t="n"/>
      <c r="J140" s="59" t="n"/>
      <c r="K140" s="60" t="n"/>
      <c r="L140" s="59" t="n"/>
    </row>
    <row r="141" ht="17" customHeight="1" s="1">
      <c r="A141" s="356" t="n"/>
      <c r="B141" s="356" t="n"/>
      <c r="C141" s="58" t="n"/>
      <c r="D141" s="58" t="n"/>
      <c r="E141" s="58" t="n"/>
      <c r="F141" s="58" t="n"/>
      <c r="G141" s="59" t="n"/>
      <c r="H141" s="59" t="n"/>
      <c r="I141" s="59" t="n"/>
      <c r="J141" s="59" t="n"/>
      <c r="K141" s="60" t="n"/>
      <c r="L141" s="59" t="n"/>
    </row>
    <row r="142" ht="17" customHeight="1" s="1">
      <c r="A142" s="356" t="n"/>
      <c r="B142" s="356" t="n"/>
      <c r="C142" s="58" t="n"/>
      <c r="D142" s="58" t="n"/>
      <c r="E142" s="58" t="n"/>
      <c r="F142" s="58" t="n"/>
      <c r="G142" s="59" t="n"/>
      <c r="H142" s="59" t="n"/>
      <c r="I142" s="59" t="n"/>
      <c r="J142" s="59" t="n"/>
      <c r="K142" s="60" t="n"/>
      <c r="L142" s="59" t="n"/>
    </row>
    <row r="143" ht="17" customHeight="1" s="1">
      <c r="A143" s="356" t="n"/>
      <c r="B143" s="356" t="n"/>
      <c r="C143" s="58" t="n"/>
      <c r="D143" s="58" t="n"/>
      <c r="E143" s="58" t="n"/>
      <c r="F143" s="58" t="n"/>
      <c r="G143" s="59" t="n"/>
      <c r="H143" s="59" t="n"/>
      <c r="I143" s="59" t="n"/>
      <c r="J143" s="59" t="n"/>
      <c r="K143" s="60" t="n"/>
      <c r="L143" s="59" t="n"/>
    </row>
    <row r="144" ht="17" customHeight="1" s="1">
      <c r="A144" s="356" t="n"/>
      <c r="B144" s="356" t="n"/>
      <c r="C144" s="58" t="n"/>
      <c r="D144" s="58" t="n"/>
      <c r="E144" s="58" t="n"/>
      <c r="F144" s="58" t="n"/>
      <c r="G144" s="59" t="n"/>
      <c r="H144" s="59" t="n"/>
      <c r="I144" s="59" t="n"/>
      <c r="J144" s="59" t="n"/>
      <c r="K144" s="60" t="n"/>
      <c r="L144" s="59" t="n"/>
    </row>
    <row r="145" ht="17" customHeight="1" s="1">
      <c r="A145" s="356" t="n"/>
      <c r="B145" s="356" t="n"/>
      <c r="C145" s="58" t="n"/>
      <c r="D145" s="58" t="n"/>
      <c r="E145" s="58" t="n"/>
      <c r="F145" s="58" t="n"/>
      <c r="G145" s="59" t="n"/>
      <c r="H145" s="59" t="n"/>
      <c r="I145" s="59" t="n"/>
      <c r="J145" s="59" t="n"/>
      <c r="K145" s="60" t="n"/>
      <c r="L145" s="59" t="n"/>
    </row>
    <row r="146" ht="17" customHeight="1" s="1">
      <c r="A146" s="356" t="n"/>
      <c r="B146" s="356" t="n"/>
      <c r="C146" s="58" t="n"/>
      <c r="D146" s="58" t="n"/>
      <c r="E146" s="58" t="n"/>
      <c r="F146" s="58" t="n"/>
      <c r="G146" s="59" t="n"/>
      <c r="H146" s="59" t="n"/>
      <c r="I146" s="59" t="n"/>
      <c r="J146" s="59" t="n"/>
      <c r="K146" s="60" t="n"/>
      <c r="L146" s="59" t="n"/>
    </row>
    <row r="147" ht="17" customHeight="1" s="1">
      <c r="A147" s="356" t="n"/>
      <c r="B147" s="356" t="n"/>
      <c r="C147" s="58" t="n"/>
      <c r="D147" s="58" t="n"/>
      <c r="E147" s="58" t="n"/>
      <c r="F147" s="58" t="n"/>
      <c r="G147" s="59" t="n"/>
      <c r="H147" s="59" t="n"/>
      <c r="I147" s="59" t="n"/>
      <c r="J147" s="59" t="n"/>
      <c r="K147" s="60" t="n"/>
      <c r="L147" s="59" t="n"/>
    </row>
    <row r="148" ht="17" customHeight="1" s="1">
      <c r="A148" s="356" t="n"/>
      <c r="B148" s="356" t="n"/>
      <c r="C148" s="58" t="n"/>
      <c r="D148" s="58" t="n"/>
      <c r="E148" s="58" t="n"/>
      <c r="F148" s="58" t="n"/>
      <c r="G148" s="59" t="n"/>
      <c r="H148" s="59" t="n"/>
      <c r="I148" s="59" t="n"/>
      <c r="J148" s="59" t="n"/>
      <c r="K148" s="60" t="n"/>
      <c r="L148" s="59" t="n"/>
    </row>
    <row r="149" ht="17" customHeight="1" s="1">
      <c r="A149" s="356" t="n"/>
      <c r="B149" s="356" t="n"/>
      <c r="C149" s="58" t="n"/>
      <c r="D149" s="58" t="n"/>
      <c r="E149" s="58" t="n"/>
      <c r="F149" s="58" t="n"/>
      <c r="G149" s="59" t="n"/>
      <c r="H149" s="59" t="n"/>
      <c r="I149" s="59" t="n"/>
      <c r="J149" s="59" t="n"/>
      <c r="K149" s="60" t="n"/>
      <c r="L149" s="59" t="n"/>
    </row>
    <row r="150" ht="17" customHeight="1" s="1">
      <c r="A150" s="356" t="n"/>
      <c r="B150" s="356" t="n"/>
      <c r="C150" s="58" t="n"/>
      <c r="D150" s="58" t="n"/>
      <c r="E150" s="58" t="n"/>
      <c r="F150" s="58" t="n"/>
      <c r="G150" s="59" t="n"/>
      <c r="H150" s="59" t="n"/>
      <c r="I150" s="59" t="n"/>
      <c r="J150" s="59" t="n"/>
      <c r="K150" s="60" t="n"/>
      <c r="L150" s="59" t="n"/>
    </row>
    <row r="151" ht="17" customHeight="1" s="1">
      <c r="A151" s="356" t="n"/>
      <c r="B151" s="356" t="n"/>
      <c r="C151" s="58" t="n"/>
      <c r="D151" s="58" t="n"/>
      <c r="E151" s="58" t="n"/>
      <c r="F151" s="58" t="n"/>
      <c r="G151" s="59" t="n"/>
      <c r="H151" s="59" t="n"/>
      <c r="I151" s="59" t="n"/>
      <c r="J151" s="59" t="n"/>
      <c r="K151" s="60" t="n"/>
      <c r="L151" s="59" t="n"/>
    </row>
    <row r="152" ht="17" customHeight="1" s="1">
      <c r="A152" s="356" t="n"/>
      <c r="B152" s="356" t="n"/>
      <c r="C152" s="58" t="n"/>
      <c r="D152" s="58" t="n"/>
      <c r="E152" s="58" t="n"/>
      <c r="F152" s="58" t="n"/>
      <c r="G152" s="59" t="n"/>
      <c r="H152" s="59" t="n"/>
      <c r="I152" s="59" t="n"/>
      <c r="J152" s="59" t="n"/>
      <c r="K152" s="60" t="n"/>
      <c r="L152" s="59" t="n"/>
    </row>
    <row r="153" ht="17" customHeight="1" s="1">
      <c r="A153" s="356" t="n"/>
      <c r="B153" s="356" t="n"/>
      <c r="C153" s="58" t="n"/>
      <c r="D153" s="58" t="n"/>
      <c r="E153" s="58" t="n"/>
      <c r="F153" s="58" t="n"/>
      <c r="G153" s="59" t="n"/>
      <c r="H153" s="59" t="n"/>
      <c r="I153" s="59" t="n"/>
      <c r="J153" s="59" t="n"/>
      <c r="K153" s="60" t="n"/>
      <c r="L153" s="59" t="n"/>
    </row>
    <row r="154" ht="17" customHeight="1" s="1">
      <c r="A154" s="356" t="n"/>
      <c r="B154" s="356" t="n"/>
      <c r="C154" s="58" t="n"/>
      <c r="D154" s="58" t="n"/>
      <c r="E154" s="58" t="n"/>
      <c r="F154" s="58" t="n"/>
      <c r="G154" s="59" t="n"/>
      <c r="H154" s="59" t="n"/>
      <c r="I154" s="59" t="n"/>
      <c r="J154" s="59" t="n"/>
      <c r="K154" s="60" t="n"/>
      <c r="L154" s="59" t="n"/>
    </row>
    <row r="155" ht="17" customHeight="1" s="1">
      <c r="A155" s="356" t="n"/>
      <c r="B155" s="356" t="n"/>
      <c r="C155" s="58" t="n"/>
      <c r="D155" s="58" t="n"/>
      <c r="E155" s="58" t="n"/>
      <c r="F155" s="58" t="n"/>
      <c r="G155" s="59" t="n"/>
      <c r="H155" s="59" t="n"/>
      <c r="I155" s="59" t="n"/>
      <c r="J155" s="59" t="n"/>
      <c r="K155" s="60" t="n"/>
      <c r="L155" s="59" t="n"/>
    </row>
    <row r="156" ht="17" customHeight="1" s="1">
      <c r="A156" s="356" t="n"/>
      <c r="B156" s="356" t="n"/>
      <c r="C156" s="58" t="n"/>
      <c r="D156" s="58" t="n"/>
      <c r="E156" s="58" t="n"/>
      <c r="F156" s="58" t="n"/>
      <c r="G156" s="59" t="n"/>
      <c r="H156" s="59" t="n"/>
      <c r="I156" s="59" t="n"/>
      <c r="J156" s="59" t="n"/>
      <c r="K156" s="60" t="n"/>
      <c r="L156" s="59" t="n"/>
    </row>
    <row r="157" ht="17" customHeight="1" s="1">
      <c r="A157" s="356" t="n"/>
      <c r="B157" s="356" t="n"/>
      <c r="C157" s="58" t="n"/>
      <c r="D157" s="58" t="n"/>
      <c r="E157" s="58" t="n"/>
      <c r="F157" s="58" t="n"/>
      <c r="G157" s="59" t="n"/>
      <c r="H157" s="59" t="n"/>
      <c r="I157" s="59" t="n"/>
      <c r="J157" s="59" t="n"/>
      <c r="K157" s="60" t="n"/>
      <c r="L157" s="59" t="n"/>
    </row>
    <row r="158" ht="17" customHeight="1" s="1">
      <c r="A158" s="356" t="n"/>
      <c r="B158" s="356" t="n"/>
      <c r="C158" s="58" t="n"/>
      <c r="D158" s="58" t="n"/>
      <c r="E158" s="58" t="n"/>
      <c r="F158" s="58" t="n"/>
      <c r="G158" s="59" t="n"/>
      <c r="H158" s="59" t="n"/>
      <c r="I158" s="59" t="n"/>
      <c r="J158" s="59" t="n"/>
      <c r="K158" s="60" t="n"/>
      <c r="L158" s="59" t="n"/>
    </row>
    <row r="159" ht="17" customHeight="1" s="1">
      <c r="A159" s="356" t="n"/>
      <c r="B159" s="356" t="n"/>
      <c r="C159" s="58" t="n"/>
      <c r="D159" s="58" t="n"/>
      <c r="E159" s="58" t="n"/>
      <c r="F159" s="58" t="n"/>
      <c r="G159" s="59" t="n"/>
      <c r="H159" s="59" t="n"/>
      <c r="I159" s="59" t="n"/>
      <c r="J159" s="59" t="n"/>
      <c r="K159" s="60" t="n"/>
      <c r="L159" s="59" t="n"/>
    </row>
    <row r="160" ht="17" customHeight="1" s="1">
      <c r="A160" s="356" t="n"/>
      <c r="B160" s="356" t="n"/>
      <c r="C160" s="58" t="n"/>
      <c r="D160" s="58" t="n"/>
      <c r="E160" s="58" t="n"/>
      <c r="F160" s="58" t="n"/>
      <c r="G160" s="59" t="n"/>
      <c r="H160" s="59" t="n"/>
      <c r="I160" s="59" t="n"/>
      <c r="J160" s="59" t="n"/>
      <c r="K160" s="60" t="n"/>
      <c r="L160" s="59" t="n"/>
    </row>
    <row r="161" ht="17" customHeight="1" s="1">
      <c r="A161" s="356" t="n"/>
      <c r="B161" s="356" t="n"/>
      <c r="C161" s="58" t="n"/>
      <c r="D161" s="58" t="n"/>
      <c r="E161" s="58" t="n"/>
      <c r="F161" s="58" t="n"/>
      <c r="G161" s="59" t="n"/>
      <c r="H161" s="59" t="n"/>
      <c r="I161" s="59" t="n"/>
      <c r="J161" s="59" t="n"/>
      <c r="K161" s="60" t="n"/>
      <c r="L161" s="59" t="n"/>
    </row>
    <row r="162" ht="17" customHeight="1" s="1">
      <c r="A162" s="356" t="n"/>
      <c r="B162" s="356" t="n"/>
      <c r="C162" s="58" t="n"/>
      <c r="D162" s="58" t="n"/>
      <c r="E162" s="58" t="n"/>
      <c r="F162" s="58" t="n"/>
      <c r="G162" s="59" t="n"/>
      <c r="H162" s="59" t="n"/>
      <c r="I162" s="59" t="n"/>
      <c r="J162" s="59" t="n"/>
      <c r="K162" s="60" t="n"/>
      <c r="L162" s="59" t="n"/>
    </row>
    <row r="163" ht="17" customHeight="1" s="1">
      <c r="A163" s="356" t="n"/>
      <c r="B163" s="356" t="n"/>
      <c r="C163" s="58" t="n"/>
      <c r="D163" s="58" t="n"/>
      <c r="E163" s="58" t="n"/>
      <c r="F163" s="58" t="n"/>
      <c r="G163" s="59" t="n"/>
      <c r="H163" s="59" t="n"/>
      <c r="I163" s="59" t="n"/>
      <c r="J163" s="59" t="n"/>
      <c r="K163" s="60" t="n"/>
      <c r="L163" s="59" t="n"/>
    </row>
    <row r="164" ht="17" customHeight="1" s="1">
      <c r="A164" s="356" t="n"/>
      <c r="B164" s="356" t="n"/>
      <c r="C164" s="58" t="n"/>
      <c r="D164" s="58" t="n"/>
      <c r="E164" s="58" t="n"/>
      <c r="F164" s="58" t="n"/>
      <c r="G164" s="59" t="n"/>
      <c r="H164" s="59" t="n"/>
      <c r="I164" s="59" t="n"/>
      <c r="J164" s="59" t="n"/>
      <c r="K164" s="60" t="n"/>
      <c r="L164" s="59" t="n"/>
    </row>
    <row r="165" ht="17" customHeight="1" s="1">
      <c r="A165" s="356" t="n"/>
      <c r="B165" s="356" t="n"/>
      <c r="C165" s="58" t="n"/>
      <c r="D165" s="58" t="n"/>
      <c r="E165" s="58" t="n"/>
      <c r="F165" s="58" t="n"/>
      <c r="G165" s="59" t="n"/>
      <c r="H165" s="59" t="n"/>
      <c r="I165" s="59" t="n"/>
      <c r="J165" s="59" t="n"/>
      <c r="K165" s="60" t="n"/>
      <c r="L165" s="59" t="n"/>
    </row>
    <row r="166" ht="17" customHeight="1" s="1">
      <c r="A166" s="356" t="n"/>
      <c r="B166" s="356" t="n"/>
      <c r="C166" s="58" t="n"/>
      <c r="D166" s="58" t="n"/>
      <c r="E166" s="58" t="n"/>
      <c r="F166" s="58" t="n"/>
      <c r="G166" s="59" t="n"/>
      <c r="H166" s="59" t="n"/>
      <c r="I166" s="59" t="n"/>
      <c r="J166" s="59" t="n"/>
      <c r="K166" s="60" t="n"/>
      <c r="L166" s="59" t="n"/>
    </row>
    <row r="167" ht="17" customHeight="1" s="1">
      <c r="A167" s="356" t="n"/>
      <c r="B167" s="356" t="n"/>
      <c r="C167" s="58" t="n"/>
      <c r="D167" s="58" t="n"/>
      <c r="E167" s="58" t="n"/>
      <c r="F167" s="58" t="n"/>
      <c r="G167" s="59" t="n"/>
      <c r="H167" s="59" t="n"/>
      <c r="I167" s="59" t="n"/>
      <c r="J167" s="59" t="n"/>
      <c r="K167" s="60" t="n"/>
      <c r="L167" s="59" t="n"/>
    </row>
    <row r="168" ht="17" customHeight="1" s="1">
      <c r="A168" s="356" t="n"/>
      <c r="B168" s="356" t="n"/>
      <c r="C168" s="58" t="n"/>
      <c r="D168" s="58" t="n"/>
      <c r="E168" s="58" t="n"/>
      <c r="F168" s="58" t="n"/>
      <c r="G168" s="59" t="n"/>
      <c r="H168" s="59" t="n"/>
      <c r="I168" s="59" t="n"/>
      <c r="J168" s="59" t="n"/>
      <c r="K168" s="60" t="n"/>
      <c r="L168" s="59" t="n"/>
    </row>
    <row r="169" ht="17" customHeight="1" s="1">
      <c r="A169" s="356" t="n"/>
      <c r="B169" s="356" t="n"/>
      <c r="C169" s="58" t="n"/>
      <c r="D169" s="58" t="n"/>
      <c r="E169" s="58" t="n"/>
      <c r="F169" s="58" t="n"/>
      <c r="G169" s="59" t="n"/>
      <c r="H169" s="59" t="n"/>
      <c r="I169" s="59" t="n"/>
      <c r="J169" s="59" t="n"/>
      <c r="K169" s="60" t="n"/>
      <c r="L169" s="59" t="n"/>
    </row>
    <row r="170" ht="17" customHeight="1" s="1">
      <c r="A170" s="356" t="n"/>
      <c r="B170" s="356" t="n"/>
      <c r="C170" s="58" t="n"/>
      <c r="D170" s="58" t="n"/>
      <c r="E170" s="58" t="n"/>
      <c r="F170" s="58" t="n"/>
      <c r="G170" s="59" t="n"/>
      <c r="H170" s="59" t="n"/>
      <c r="I170" s="59" t="n"/>
      <c r="J170" s="59" t="n"/>
      <c r="K170" s="60" t="n"/>
      <c r="L170" s="59" t="n"/>
    </row>
    <row r="171" ht="17" customHeight="1" s="1">
      <c r="A171" s="356" t="n"/>
      <c r="B171" s="356" t="n"/>
      <c r="C171" s="58" t="n"/>
      <c r="D171" s="58" t="n"/>
      <c r="E171" s="58" t="n"/>
      <c r="F171" s="58" t="n"/>
      <c r="G171" s="59" t="n"/>
      <c r="H171" s="59" t="n"/>
      <c r="I171" s="59" t="n"/>
      <c r="J171" s="59" t="n"/>
      <c r="K171" s="60" t="n"/>
      <c r="L171" s="59" t="n"/>
    </row>
    <row r="172" ht="17" customHeight="1" s="1">
      <c r="A172" s="356" t="n"/>
      <c r="B172" s="356" t="n"/>
      <c r="C172" s="58" t="n"/>
      <c r="D172" s="58" t="n"/>
      <c r="E172" s="58" t="n"/>
      <c r="F172" s="58" t="n"/>
      <c r="G172" s="59" t="n"/>
      <c r="H172" s="59" t="n"/>
      <c r="I172" s="59" t="n"/>
      <c r="J172" s="59" t="n"/>
      <c r="K172" s="60" t="n"/>
      <c r="L172" s="59" t="n"/>
    </row>
    <row r="173" ht="17" customHeight="1" s="1">
      <c r="A173" s="356" t="n"/>
      <c r="B173" s="356" t="n"/>
      <c r="C173" s="58" t="n"/>
      <c r="D173" s="58" t="n"/>
      <c r="E173" s="58" t="n"/>
      <c r="F173" s="58" t="n"/>
      <c r="G173" s="59" t="n"/>
      <c r="H173" s="59" t="n"/>
      <c r="I173" s="59" t="n"/>
      <c r="J173" s="59" t="n"/>
      <c r="K173" s="60" t="n"/>
      <c r="L173" s="59" t="n"/>
    </row>
    <row r="174" ht="17" customHeight="1" s="1">
      <c r="A174" s="356" t="n"/>
      <c r="B174" s="356" t="n"/>
      <c r="C174" s="58" t="n"/>
      <c r="D174" s="58" t="n"/>
      <c r="E174" s="58" t="n"/>
      <c r="F174" s="58" t="n"/>
      <c r="G174" s="59" t="n"/>
      <c r="H174" s="59" t="n"/>
      <c r="I174" s="59" t="n"/>
      <c r="J174" s="59" t="n"/>
      <c r="K174" s="60" t="n"/>
      <c r="L174" s="59" t="n"/>
    </row>
    <row r="175" ht="17" customHeight="1" s="1">
      <c r="A175" s="356" t="n"/>
      <c r="B175" s="356" t="n"/>
      <c r="C175" s="58" t="n"/>
      <c r="D175" s="58" t="n"/>
      <c r="E175" s="58" t="n"/>
      <c r="F175" s="58" t="n"/>
      <c r="G175" s="59" t="n"/>
      <c r="H175" s="59" t="n"/>
      <c r="I175" s="59" t="n"/>
      <c r="J175" s="59" t="n"/>
      <c r="K175" s="60" t="n"/>
      <c r="L175" s="59" t="n"/>
    </row>
    <row r="176" ht="17" customHeight="1" s="1">
      <c r="A176" s="356" t="n"/>
      <c r="B176" s="356" t="n"/>
      <c r="C176" s="58" t="n"/>
      <c r="D176" s="58" t="n"/>
      <c r="E176" s="58" t="n"/>
      <c r="F176" s="58" t="n"/>
      <c r="G176" s="59" t="n"/>
      <c r="H176" s="59" t="n"/>
      <c r="I176" s="59" t="n"/>
      <c r="J176" s="59" t="n"/>
      <c r="K176" s="60" t="n"/>
      <c r="L176" s="59" t="n"/>
    </row>
    <row r="177" ht="17" customHeight="1" s="1">
      <c r="A177" s="356" t="n"/>
      <c r="B177" s="356" t="n"/>
      <c r="C177" s="58" t="n"/>
      <c r="D177" s="58" t="n"/>
      <c r="E177" s="58" t="n"/>
      <c r="F177" s="58" t="n"/>
      <c r="G177" s="59" t="n"/>
      <c r="H177" s="59" t="n"/>
      <c r="I177" s="59" t="n"/>
      <c r="J177" s="59" t="n"/>
      <c r="K177" s="60" t="n"/>
      <c r="L177" s="59" t="n"/>
    </row>
    <row r="178" ht="17" customHeight="1" s="1">
      <c r="A178" s="356" t="n"/>
      <c r="B178" s="356" t="n"/>
      <c r="C178" s="58" t="n"/>
      <c r="D178" s="58" t="n"/>
      <c r="E178" s="58" t="n"/>
      <c r="F178" s="58" t="n"/>
      <c r="G178" s="59" t="n"/>
      <c r="H178" s="59" t="n"/>
      <c r="I178" s="59" t="n"/>
      <c r="J178" s="59" t="n"/>
      <c r="K178" s="60" t="n"/>
      <c r="L178" s="59" t="n"/>
    </row>
    <row r="179" ht="17" customHeight="1" s="1">
      <c r="A179" s="356" t="n"/>
      <c r="B179" s="356" t="n"/>
      <c r="C179" s="58" t="n"/>
      <c r="D179" s="58" t="n"/>
      <c r="E179" s="58" t="n"/>
      <c r="F179" s="58" t="n"/>
      <c r="G179" s="59" t="n"/>
      <c r="H179" s="59" t="n"/>
      <c r="I179" s="59" t="n"/>
      <c r="J179" s="59" t="n"/>
      <c r="K179" s="60" t="n"/>
      <c r="L179" s="59" t="n"/>
    </row>
    <row r="180" ht="17" customHeight="1" s="1">
      <c r="A180" s="356" t="n"/>
      <c r="B180" s="356" t="n"/>
      <c r="C180" s="58" t="n"/>
      <c r="D180" s="58" t="n"/>
      <c r="E180" s="58" t="n"/>
      <c r="F180" s="58" t="n"/>
      <c r="G180" s="59" t="n"/>
      <c r="H180" s="59" t="n"/>
      <c r="I180" s="59" t="n"/>
      <c r="J180" s="59" t="n"/>
      <c r="K180" s="60" t="n"/>
      <c r="L180" s="59" t="n"/>
    </row>
    <row r="181" ht="17" customHeight="1" s="1">
      <c r="A181" s="356" t="n"/>
      <c r="B181" s="356" t="n"/>
      <c r="C181" s="58" t="n"/>
      <c r="D181" s="58" t="n"/>
      <c r="E181" s="58" t="n"/>
      <c r="F181" s="58" t="n"/>
      <c r="G181" s="59" t="n"/>
      <c r="H181" s="59" t="n"/>
      <c r="I181" s="59" t="n"/>
      <c r="J181" s="59" t="n"/>
      <c r="K181" s="60" t="n"/>
      <c r="L181" s="59" t="n"/>
    </row>
    <row r="182" ht="17" customHeight="1" s="1">
      <c r="A182" s="356" t="n"/>
      <c r="B182" s="356" t="n"/>
      <c r="C182" s="58" t="n"/>
      <c r="D182" s="58" t="n"/>
      <c r="E182" s="58" t="n"/>
      <c r="F182" s="58" t="n"/>
      <c r="G182" s="59" t="n"/>
      <c r="H182" s="59" t="n"/>
      <c r="I182" s="59" t="n"/>
      <c r="J182" s="59" t="n"/>
      <c r="K182" s="60" t="n"/>
      <c r="L182" s="59" t="n"/>
    </row>
    <row r="183" ht="17" customHeight="1" s="1">
      <c r="A183" s="356" t="n"/>
      <c r="B183" s="356" t="n"/>
      <c r="C183" s="58" t="n"/>
      <c r="D183" s="58" t="n"/>
      <c r="E183" s="58" t="n"/>
      <c r="F183" s="58" t="n"/>
      <c r="G183" s="59" t="n"/>
      <c r="H183" s="59" t="n"/>
      <c r="I183" s="59" t="n"/>
      <c r="J183" s="59" t="n"/>
      <c r="K183" s="60" t="n"/>
      <c r="L183" s="59" t="n"/>
    </row>
    <row r="184" ht="17" customHeight="1" s="1">
      <c r="A184" s="356" t="n"/>
      <c r="B184" s="356" t="n"/>
      <c r="C184" s="58" t="n"/>
      <c r="D184" s="58" t="n"/>
      <c r="E184" s="58" t="n"/>
      <c r="F184" s="58" t="n"/>
      <c r="G184" s="59" t="n"/>
      <c r="H184" s="59" t="n"/>
      <c r="I184" s="59" t="n"/>
      <c r="J184" s="59" t="n"/>
      <c r="K184" s="60" t="n"/>
      <c r="L184" s="59" t="n"/>
    </row>
    <row r="185" ht="17" customHeight="1" s="1">
      <c r="A185" s="356" t="n"/>
      <c r="B185" s="356" t="n"/>
      <c r="C185" s="58" t="n"/>
      <c r="D185" s="58" t="n"/>
      <c r="E185" s="58" t="n"/>
      <c r="F185" s="58" t="n"/>
      <c r="G185" s="59" t="n"/>
      <c r="H185" s="59" t="n"/>
      <c r="I185" s="59" t="n"/>
      <c r="J185" s="59" t="n"/>
      <c r="K185" s="60" t="n"/>
      <c r="L185" s="59" t="n"/>
    </row>
    <row r="186" ht="17" customHeight="1" s="1">
      <c r="A186" s="356" t="n"/>
      <c r="B186" s="356" t="n"/>
      <c r="C186" s="58" t="n"/>
      <c r="D186" s="58" t="n"/>
      <c r="E186" s="58" t="n"/>
      <c r="F186" s="58" t="n"/>
      <c r="G186" s="59" t="n"/>
      <c r="H186" s="59" t="n"/>
      <c r="I186" s="59" t="n"/>
      <c r="J186" s="59" t="n"/>
      <c r="K186" s="60" t="n"/>
      <c r="L186" s="59" t="n"/>
    </row>
    <row r="187" ht="17" customHeight="1" s="1">
      <c r="A187" s="356" t="n"/>
      <c r="B187" s="356" t="n"/>
      <c r="C187" s="58" t="n"/>
      <c r="D187" s="58" t="n"/>
      <c r="E187" s="58" t="n"/>
      <c r="F187" s="58" t="n"/>
      <c r="G187" s="59" t="n"/>
      <c r="H187" s="59" t="n"/>
      <c r="I187" s="59" t="n"/>
      <c r="J187" s="59" t="n"/>
      <c r="K187" s="60" t="n"/>
      <c r="L187" s="59" t="n"/>
    </row>
    <row r="188" ht="17" customHeight="1" s="1">
      <c r="A188" s="356" t="n"/>
      <c r="B188" s="356" t="n"/>
      <c r="C188" s="58" t="n"/>
      <c r="D188" s="58" t="n"/>
      <c r="E188" s="58" t="n"/>
      <c r="F188" s="58" t="n"/>
      <c r="G188" s="59" t="n"/>
      <c r="H188" s="59" t="n"/>
      <c r="I188" s="59" t="n"/>
      <c r="J188" s="59" t="n"/>
      <c r="K188" s="60" t="n"/>
      <c r="L188" s="59" t="n"/>
    </row>
    <row r="189" ht="17" customHeight="1" s="1">
      <c r="A189" s="356" t="n"/>
      <c r="B189" s="356" t="n"/>
      <c r="C189" s="58" t="n"/>
      <c r="D189" s="58" t="n"/>
      <c r="E189" s="58" t="n"/>
      <c r="F189" s="58" t="n"/>
      <c r="G189" s="59" t="n"/>
      <c r="H189" s="59" t="n"/>
      <c r="I189" s="59" t="n"/>
      <c r="J189" s="59" t="n"/>
      <c r="K189" s="60" t="n"/>
      <c r="L189" s="59" t="n"/>
    </row>
    <row r="190" ht="17" customHeight="1" s="1">
      <c r="A190" s="356" t="n"/>
      <c r="B190" s="356" t="n"/>
      <c r="C190" s="58" t="n"/>
      <c r="D190" s="58" t="n"/>
      <c r="E190" s="58" t="n"/>
      <c r="F190" s="58" t="n"/>
      <c r="G190" s="59" t="n"/>
      <c r="H190" s="59" t="n"/>
      <c r="I190" s="59" t="n"/>
      <c r="J190" s="59" t="n"/>
      <c r="K190" s="60" t="n"/>
      <c r="L190" s="59" t="n"/>
    </row>
    <row r="191" ht="17" customHeight="1" s="1">
      <c r="A191" s="356" t="n"/>
      <c r="B191" s="356" t="n"/>
      <c r="C191" s="58" t="n"/>
      <c r="D191" s="58" t="n"/>
      <c r="E191" s="58" t="n"/>
      <c r="F191" s="58" t="n"/>
      <c r="G191" s="59" t="n"/>
      <c r="H191" s="59" t="n"/>
      <c r="I191" s="59" t="n"/>
      <c r="J191" s="59" t="n"/>
      <c r="K191" s="60" t="n"/>
      <c r="L191" s="59" t="n"/>
    </row>
    <row r="192" ht="17" customHeight="1" s="1">
      <c r="A192" s="356" t="n"/>
      <c r="B192" s="356" t="n"/>
      <c r="C192" s="58" t="n"/>
      <c r="D192" s="58" t="n"/>
      <c r="E192" s="58" t="n"/>
      <c r="F192" s="58" t="n"/>
      <c r="G192" s="59" t="n"/>
      <c r="H192" s="59" t="n"/>
      <c r="I192" s="59" t="n"/>
      <c r="J192" s="59" t="n"/>
      <c r="K192" s="60" t="n"/>
      <c r="L192" s="59" t="n"/>
    </row>
    <row r="193" ht="17" customHeight="1" s="1">
      <c r="A193" s="356" t="n"/>
      <c r="B193" s="356" t="n"/>
      <c r="C193" s="58" t="n"/>
      <c r="D193" s="58" t="n"/>
      <c r="E193" s="58" t="n"/>
      <c r="F193" s="58" t="n"/>
      <c r="G193" s="59" t="n"/>
      <c r="H193" s="59" t="n"/>
      <c r="I193" s="59" t="n"/>
      <c r="J193" s="59" t="n"/>
      <c r="K193" s="60" t="n"/>
      <c r="L193" s="59" t="n"/>
    </row>
    <row r="194" ht="17" customHeight="1" s="1">
      <c r="A194" s="356" t="n"/>
      <c r="B194" s="356" t="n"/>
      <c r="C194" s="58" t="n"/>
      <c r="D194" s="58" t="n"/>
      <c r="E194" s="58" t="n"/>
      <c r="F194" s="58" t="n"/>
      <c r="G194" s="59" t="n"/>
      <c r="H194" s="59" t="n"/>
      <c r="I194" s="59" t="n"/>
      <c r="J194" s="59" t="n"/>
      <c r="K194" s="60" t="n"/>
      <c r="L194" s="59" t="n"/>
    </row>
    <row r="195" ht="17" customHeight="1" s="1">
      <c r="A195" s="356" t="n"/>
      <c r="B195" s="356" t="n"/>
      <c r="C195" s="58" t="n"/>
      <c r="D195" s="58" t="n"/>
      <c r="E195" s="58" t="n"/>
      <c r="F195" s="58" t="n"/>
      <c r="G195" s="59" t="n"/>
      <c r="H195" s="59" t="n"/>
      <c r="I195" s="59" t="n"/>
      <c r="J195" s="59" t="n"/>
      <c r="K195" s="60" t="n"/>
      <c r="L195" s="59" t="n"/>
    </row>
    <row r="196" ht="17" customHeight="1" s="1">
      <c r="A196" s="356" t="n"/>
      <c r="B196" s="356" t="n"/>
      <c r="C196" s="58" t="n"/>
      <c r="D196" s="58" t="n"/>
      <c r="E196" s="58" t="n"/>
      <c r="F196" s="58" t="n"/>
      <c r="G196" s="59" t="n"/>
      <c r="H196" s="59" t="n"/>
      <c r="I196" s="59" t="n"/>
      <c r="J196" s="59" t="n"/>
      <c r="K196" s="60" t="n"/>
      <c r="L196" s="59" t="n"/>
    </row>
    <row r="197" ht="17" customHeight="1" s="1">
      <c r="A197" s="356" t="n"/>
      <c r="B197" s="356" t="n"/>
      <c r="C197" s="58" t="n"/>
      <c r="D197" s="58" t="n"/>
      <c r="E197" s="58" t="n"/>
      <c r="F197" s="58" t="n"/>
      <c r="G197" s="59" t="n"/>
      <c r="H197" s="59" t="n"/>
      <c r="I197" s="59" t="n"/>
      <c r="J197" s="59" t="n"/>
      <c r="K197" s="60" t="n"/>
      <c r="L197" s="59" t="n"/>
    </row>
    <row r="198" ht="17" customHeight="1" s="1">
      <c r="A198" s="356" t="n"/>
      <c r="B198" s="356" t="n"/>
      <c r="C198" s="58" t="n"/>
      <c r="D198" s="58" t="n"/>
      <c r="E198" s="58" t="n"/>
      <c r="F198" s="58" t="n"/>
      <c r="G198" s="59" t="n"/>
      <c r="H198" s="59" t="n"/>
      <c r="I198" s="59" t="n"/>
      <c r="J198" s="59" t="n"/>
      <c r="K198" s="60" t="n"/>
      <c r="L198" s="59" t="n"/>
    </row>
    <row r="199" ht="17" customHeight="1" s="1">
      <c r="A199" s="356" t="n"/>
      <c r="B199" s="356" t="n"/>
      <c r="C199" s="58" t="n"/>
      <c r="D199" s="58" t="n"/>
      <c r="E199" s="58" t="n"/>
      <c r="F199" s="58" t="n"/>
      <c r="G199" s="59" t="n"/>
      <c r="H199" s="59" t="n"/>
      <c r="I199" s="59" t="n"/>
      <c r="J199" s="59" t="n"/>
      <c r="K199" s="60" t="n"/>
      <c r="L199" s="59" t="n"/>
    </row>
    <row r="200" ht="17" customHeight="1" s="1">
      <c r="A200" s="356" t="n"/>
      <c r="B200" s="356" t="n"/>
      <c r="C200" s="58" t="n"/>
      <c r="D200" s="58" t="n"/>
      <c r="E200" s="58" t="n"/>
      <c r="F200" s="58" t="n"/>
      <c r="G200" s="59" t="n"/>
      <c r="H200" s="59" t="n"/>
      <c r="I200" s="59" t="n"/>
      <c r="J200" s="59" t="n"/>
      <c r="K200" s="60" t="n"/>
      <c r="L200" s="59" t="n"/>
    </row>
  </sheetData>
  <conditionalFormatting sqref="D3">
    <cfRule type="expression" priority="1" dxfId="0" stopIfTrue="1">
      <formula>#REF!="变更删除"</formula>
    </cfRule>
    <cfRule type="expression" priority="2" dxfId="1" stopIfTrue="1">
      <formula>#REF!="删除"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N37"/>
  <sheetViews>
    <sheetView workbookViewId="0">
      <selection activeCell="A1" sqref="A1:K2"/>
    </sheetView>
  </sheetViews>
  <sheetFormatPr baseColWidth="8" defaultColWidth="13" defaultRowHeight="14.25"/>
  <cols>
    <col width="14" customWidth="1" style="1" min="1" max="1"/>
    <col width="9" customWidth="1" style="1" min="2" max="3"/>
    <col width="14" customWidth="1" style="1" min="4" max="4"/>
    <col width="9" customWidth="1" style="1" min="5" max="20"/>
  </cols>
  <sheetData>
    <row r="1" ht="17" customHeight="1" s="1">
      <c r="A1" s="23" t="inlineStr">
        <is>
          <t>板子连接模组</t>
        </is>
      </c>
    </row>
    <row r="2" ht="17" customHeight="1" s="1">
      <c r="N2" s="24" t="n"/>
    </row>
    <row r="3" ht="18" customHeight="1" s="1">
      <c r="A3" s="25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N3" s="24" t="n"/>
    </row>
    <row r="4" ht="17" customHeight="1" s="1">
      <c r="A4" s="27" t="n"/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</row>
    <row r="5" ht="17" customHeight="1" s="1">
      <c r="A5" s="27" t="n"/>
      <c r="B5" s="28" t="n"/>
      <c r="C5" s="28" t="n"/>
      <c r="D5" s="28" t="n"/>
      <c r="E5" s="28" t="n"/>
      <c r="F5" s="28" t="n"/>
      <c r="G5" s="28" t="n"/>
      <c r="H5" s="28" t="n"/>
      <c r="I5" s="28" t="n"/>
      <c r="J5" s="28" t="n"/>
      <c r="K5" s="28" t="n"/>
    </row>
    <row r="6" ht="17" customHeight="1" s="1">
      <c r="A6" s="27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</row>
    <row r="7" ht="17" customHeight="1" s="1">
      <c r="A7" s="27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</row>
    <row r="8" ht="53" customHeight="1" s="1">
      <c r="A8" s="27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</row>
    <row r="9" ht="17" customHeight="1" s="1">
      <c r="A9" s="27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</row>
    <row r="10" ht="17" customHeight="1" s="1">
      <c r="A10" s="27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</row>
    <row r="11" ht="17" customHeight="1" s="1">
      <c r="A11" s="27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</row>
    <row r="12" ht="17" customHeight="1" s="1">
      <c r="A12" s="27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</row>
    <row r="13" ht="17" customHeight="1" s="1">
      <c r="A13" s="27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</row>
    <row r="14" ht="17" customHeight="1" s="1">
      <c r="A14" s="27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</row>
    <row r="15" ht="17" customHeight="1" s="1">
      <c r="A15" s="27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</row>
    <row r="16" ht="17" customHeight="1" s="1">
      <c r="A16" s="27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</row>
    <row r="17" ht="17" customHeight="1" s="1">
      <c r="A17" s="27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</row>
    <row r="18" ht="17" customHeight="1" s="1">
      <c r="A18" s="27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</row>
    <row r="19" ht="17" customHeight="1" s="1">
      <c r="A19" s="27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</row>
    <row r="20" ht="17" customHeight="1" s="1">
      <c r="A20" s="27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</row>
    <row r="21" ht="17" customHeight="1" s="1">
      <c r="A21" s="27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</row>
    <row r="22" ht="17" customHeight="1" s="1">
      <c r="A22" s="27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</row>
    <row r="23" ht="17" customHeight="1" s="1">
      <c r="A23" s="27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</row>
    <row r="24" ht="17" customHeight="1" s="1">
      <c r="A24" s="27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</row>
    <row r="25" ht="17" customHeight="1" s="1">
      <c r="A25" s="27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</row>
    <row r="26" ht="17" customHeight="1" s="1">
      <c r="A26" s="27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</row>
    <row r="27" ht="17" customHeight="1" s="1">
      <c r="A27" s="27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</row>
    <row r="28" ht="17" customHeight="1" s="1">
      <c r="A28" s="27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</row>
    <row r="29" ht="17" customHeight="1" s="1">
      <c r="A29" s="27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</row>
    <row r="30" ht="17" customHeight="1" s="1">
      <c r="A30" s="27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</row>
    <row r="31" ht="17" customHeight="1" s="1">
      <c r="A31" s="27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</row>
    <row r="32" ht="17" customHeight="1" s="1">
      <c r="A32" s="29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</row>
    <row r="33" ht="17" customHeight="1" s="1">
      <c r="A33" s="27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31" t="n"/>
    </row>
    <row r="34" ht="17" customHeight="1" s="1"/>
    <row r="35" ht="17" customHeight="1" s="1"/>
    <row r="36" ht="17" customHeight="1" s="1">
      <c r="A36" s="32" t="inlineStr">
        <is>
          <t xml:space="preserve"> *其中包括NV标准开发板以及IDC开发板</t>
        </is>
      </c>
    </row>
    <row r="37" ht="17" customHeight="1" s="1">
      <c r="A37" s="32" t="inlineStr">
        <is>
          <t xml:space="preserve"> *IMX728模组&amp;IMX623模组</t>
        </is>
      </c>
    </row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mergeCells count="1">
    <mergeCell ref="A1:K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2:T21"/>
  <sheetViews>
    <sheetView workbookViewId="0">
      <selection activeCell="H29" sqref="H29"/>
    </sheetView>
  </sheetViews>
  <sheetFormatPr baseColWidth="8" defaultColWidth="13" defaultRowHeight="14.25"/>
  <cols>
    <col width="3" customWidth="1" style="1" min="1" max="1"/>
    <col width="13" customWidth="1" style="1" min="2" max="2"/>
    <col width="27" customWidth="1" style="1" min="3" max="3"/>
    <col width="13" customWidth="1" style="1" min="4" max="6"/>
    <col width="11" customWidth="1" style="1" min="7" max="20"/>
  </cols>
  <sheetData>
    <row r="1" ht="13" customHeight="1" s="1"/>
    <row r="2" ht="31" customHeight="1" s="1">
      <c r="A2" s="2" t="n"/>
      <c r="B2" s="3" t="inlineStr">
        <is>
          <t>模板修改控制</t>
        </is>
      </c>
      <c r="C2" s="4" t="n"/>
      <c r="D2" s="4" t="n"/>
      <c r="E2" s="4" t="n"/>
      <c r="F2" s="4" t="n"/>
      <c r="G2" s="5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17" customHeight="1" s="1">
      <c r="A3" s="251" t="n"/>
      <c r="B3" s="7" t="inlineStr">
        <is>
          <t>版本</t>
        </is>
      </c>
      <c r="C3" s="8" t="inlineStr">
        <is>
          <t>修改条款及内容</t>
        </is>
      </c>
      <c r="D3" s="8" t="inlineStr">
        <is>
          <t>修改日期</t>
        </is>
      </c>
      <c r="E3" s="9" t="inlineStr">
        <is>
          <t>修改者</t>
        </is>
      </c>
      <c r="F3" s="9" t="inlineStr">
        <is>
          <t>评审人</t>
        </is>
      </c>
      <c r="G3" s="10" t="inlineStr">
        <is>
          <t>批准人</t>
        </is>
      </c>
    </row>
    <row r="4" ht="17" customHeight="1" s="1">
      <c r="A4" s="251" t="n"/>
      <c r="B4" s="11" t="inlineStr">
        <is>
          <t>V1.0</t>
        </is>
      </c>
      <c r="C4" s="12" t="inlineStr">
        <is>
          <t>初版</t>
        </is>
      </c>
      <c r="D4" s="357" t="n">
        <v>44537</v>
      </c>
      <c r="E4" s="14" t="inlineStr">
        <is>
          <t>霍丹</t>
        </is>
      </c>
      <c r="F4" s="14" t="inlineStr">
        <is>
          <t>王颖</t>
        </is>
      </c>
      <c r="G4" s="15" t="inlineStr">
        <is>
          <t>吴昱</t>
        </is>
      </c>
    </row>
    <row r="5" ht="17" customHeight="1" s="1">
      <c r="A5" s="251" t="n"/>
      <c r="B5" s="11" t="n"/>
      <c r="C5" s="12" t="n"/>
      <c r="D5" s="358" t="n"/>
      <c r="E5" s="17" t="n"/>
      <c r="F5" s="17" t="n"/>
      <c r="G5" s="18" t="n"/>
    </row>
    <row r="6" ht="17" customHeight="1" s="1">
      <c r="A6" s="251" t="n"/>
      <c r="B6" s="11" t="n"/>
      <c r="C6" s="12" t="n"/>
      <c r="D6" s="358" t="n"/>
      <c r="E6" s="17" t="n"/>
      <c r="F6" s="17" t="n"/>
      <c r="G6" s="18" t="n"/>
    </row>
    <row r="7" ht="17" customHeight="1" s="1">
      <c r="A7" s="251" t="n"/>
      <c r="B7" s="11" t="n"/>
      <c r="C7" s="12" t="n"/>
      <c r="D7" s="12" t="n"/>
      <c r="E7" s="17" t="n"/>
      <c r="F7" s="17" t="n"/>
      <c r="G7" s="18" t="n"/>
    </row>
    <row r="8" ht="17" customHeight="1" s="1">
      <c r="A8" s="251" t="n"/>
      <c r="B8" s="11" t="n"/>
      <c r="C8" s="12" t="n"/>
      <c r="D8" s="12" t="n"/>
      <c r="E8" s="17" t="n"/>
      <c r="F8" s="17" t="n"/>
      <c r="G8" s="18" t="n"/>
    </row>
    <row r="9" ht="17" customHeight="1" s="1">
      <c r="A9" s="251" t="n"/>
      <c r="B9" s="11" t="n"/>
      <c r="C9" s="12" t="n"/>
      <c r="D9" s="12" t="n"/>
      <c r="E9" s="17" t="n"/>
      <c r="F9" s="17" t="n"/>
      <c r="G9" s="18" t="n"/>
    </row>
    <row r="10" ht="17" customHeight="1" s="1">
      <c r="A10" s="251" t="n"/>
      <c r="B10" s="11" t="n"/>
      <c r="C10" s="12" t="n"/>
      <c r="D10" s="12" t="n"/>
      <c r="E10" s="17" t="n"/>
      <c r="F10" s="17" t="n"/>
      <c r="G10" s="18" t="n"/>
    </row>
    <row r="11" ht="17" customHeight="1" s="1">
      <c r="A11" s="251" t="n"/>
      <c r="B11" s="11" t="n"/>
      <c r="C11" s="12" t="n"/>
      <c r="D11" s="12" t="n"/>
      <c r="E11" s="17" t="n"/>
      <c r="F11" s="17" t="n"/>
      <c r="G11" s="18" t="n"/>
    </row>
    <row r="12" ht="17" customHeight="1" s="1">
      <c r="A12" s="251" t="n"/>
      <c r="B12" s="11" t="n"/>
      <c r="C12" s="12" t="n"/>
      <c r="D12" s="12" t="n"/>
      <c r="E12" s="17" t="n"/>
      <c r="F12" s="17" t="n"/>
      <c r="G12" s="18" t="n"/>
    </row>
    <row r="13" ht="17" customHeight="1" s="1">
      <c r="A13" s="251" t="n"/>
      <c r="B13" s="11" t="n"/>
      <c r="C13" s="12" t="n"/>
      <c r="D13" s="12" t="n"/>
      <c r="E13" s="17" t="n"/>
      <c r="F13" s="17" t="n"/>
      <c r="G13" s="18" t="n"/>
    </row>
    <row r="14" ht="17" customHeight="1" s="1">
      <c r="A14" s="251" t="n"/>
      <c r="B14" s="11" t="n"/>
      <c r="C14" s="12" t="n"/>
      <c r="D14" s="12" t="n"/>
      <c r="E14" s="17" t="n"/>
      <c r="F14" s="17" t="n"/>
      <c r="G14" s="18" t="n"/>
    </row>
    <row r="15" ht="17" customHeight="1" s="1">
      <c r="A15" s="251" t="n"/>
      <c r="B15" s="11" t="n"/>
      <c r="C15" s="12" t="n"/>
      <c r="D15" s="12" t="n"/>
      <c r="E15" s="17" t="n"/>
      <c r="F15" s="17" t="n"/>
      <c r="G15" s="18" t="n"/>
    </row>
    <row r="16" ht="17" customHeight="1" s="1">
      <c r="A16" s="251" t="n"/>
      <c r="B16" s="11" t="n"/>
      <c r="C16" s="12" t="n"/>
      <c r="D16" s="12" t="n"/>
      <c r="E16" s="17" t="n"/>
      <c r="F16" s="17" t="n"/>
      <c r="G16" s="18" t="n"/>
    </row>
    <row r="17" ht="17" customHeight="1" s="1">
      <c r="A17" s="251" t="n"/>
      <c r="B17" s="11" t="n"/>
      <c r="C17" s="12" t="n"/>
      <c r="D17" s="12" t="n"/>
      <c r="E17" s="17" t="n"/>
      <c r="F17" s="17" t="n"/>
      <c r="G17" s="18" t="n"/>
    </row>
    <row r="18" ht="17" customHeight="1" s="1">
      <c r="A18" s="251" t="n"/>
      <c r="B18" s="11" t="n"/>
      <c r="C18" s="12" t="n"/>
      <c r="D18" s="12" t="n"/>
      <c r="E18" s="17" t="n"/>
      <c r="F18" s="17" t="n"/>
      <c r="G18" s="18" t="n"/>
    </row>
    <row r="19" ht="17" customHeight="1" s="1">
      <c r="A19" s="251" t="n"/>
      <c r="B19" s="11" t="n"/>
      <c r="C19" s="12" t="n"/>
      <c r="D19" s="12" t="n"/>
      <c r="E19" s="17" t="n"/>
      <c r="F19" s="17" t="n"/>
      <c r="G19" s="18" t="n"/>
    </row>
    <row r="20" ht="17" customHeight="1" s="1">
      <c r="A20" s="251" t="n"/>
      <c r="B20" s="19" t="n"/>
      <c r="C20" s="20" t="n"/>
      <c r="D20" s="20" t="n"/>
      <c r="E20" s="21" t="n"/>
      <c r="F20" s="21" t="n"/>
      <c r="G20" s="22" t="n"/>
    </row>
    <row r="21" ht="17" customHeight="1" s="1">
      <c r="B21" s="251" t="n"/>
      <c r="C21" s="251" t="n"/>
      <c r="D21" s="251" t="n"/>
      <c r="E21" s="251" t="n"/>
      <c r="F21" s="251" t="n"/>
      <c r="G21" s="251" t="n"/>
    </row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2026-08-08T09:48:00Z</dcterms:created>
  <dcterms:modified xmlns:dcterms="http://purl.org/dc/terms/" xmlns:xsi="http://www.w3.org/2001/XMLSchema-instance" xsi:type="dcterms:W3CDTF">2026-10-28T07:09:58Z</dcterms:modified>
  <cp:lastModifiedBy>tstj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EFBE86763648A56E9B08736A76AE7EBC_42</vt:lpwstr>
  </property>
  <property name="KSOProductBuildVer" fmtid="{D5CDD505-2E9C-101B-9397-08002B2CF9AE}" pid="3">
    <vt:lpwstr xmlns:vt="http://schemas.openxmlformats.org/officeDocument/2006/docPropsVTypes">2052-12.1.2.24722</vt:lpwstr>
  </property>
  <property name="CalculationRule" fmtid="{D5CDD505-2E9C-101B-9397-08002B2CF9AE}" pid="4">
    <vt:i4 xmlns:vt="http://schemas.openxmlformats.org/officeDocument/2006/docPropsVTypes">0</vt:i4>
  </property>
</Properties>
</file>